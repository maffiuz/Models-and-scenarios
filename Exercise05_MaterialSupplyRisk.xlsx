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Gpc\Downloads\"/>
    </mc:Choice>
  </mc:AlternateContent>
  <xr:revisionPtr revIDLastSave="0" documentId="13_ncr:1_{095F5616-6DB7-4B8D-BE68-5F4F38FEAE2E}" xr6:coauthVersionLast="47" xr6:coauthVersionMax="47" xr10:uidLastSave="{00000000-0000-0000-0000-000000000000}"/>
  <bookViews>
    <workbookView xWindow="-120" yWindow="-120" windowWidth="29040" windowHeight="15720" activeTab="3" xr2:uid="{13A53D0C-DF68-4475-A011-91D692BD9004}"/>
  </bookViews>
  <sheets>
    <sheet name="Supply Risk" sheetId="6" r:id="rId1"/>
    <sheet name="Raw Materials" sheetId="3" r:id="rId2"/>
    <sheet name="Cars" sheetId="4" r:id="rId3"/>
    <sheet name="Power Plants" sheetId="5" r:id="rId4"/>
  </sheets>
  <definedNames>
    <definedName name="_ftn1" localSheetId="3">'Power Plants'!#REF!</definedName>
    <definedName name="_ftnref1" localSheetId="3">'Power Plants'!$B$6</definedName>
    <definedName name="_Ref171844817" localSheetId="3">'Power Plants'!$B$6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D23" i="5"/>
  <c r="H3" i="4" a="1"/>
  <c r="H13" i="4" a="1"/>
  <c r="H11" i="4" a="1"/>
  <c r="H30" i="4" a="1"/>
  <c r="H29" i="4" a="1"/>
  <c r="H28" i="4" a="1"/>
  <c r="H27" i="4" a="1"/>
  <c r="H26" i="4" a="1"/>
  <c r="H25" i="4" a="1"/>
  <c r="H24" i="4" a="1"/>
  <c r="H23" i="4" a="1"/>
  <c r="H22" i="4" a="1"/>
  <c r="H21" i="4" a="1"/>
  <c r="H20" i="4" a="1"/>
  <c r="H19" i="4" a="1"/>
  <c r="H18" i="4" a="1"/>
  <c r="H17" i="4" a="1"/>
  <c r="H16" i="4" a="1"/>
  <c r="H15" i="4" a="1"/>
  <c r="H14" i="4" a="1"/>
  <c r="H12" i="4" a="1"/>
  <c r="H10" i="4" a="1"/>
  <c r="H9" i="4" a="1"/>
  <c r="H8" i="4" a="1"/>
  <c r="H7" i="4" a="1"/>
  <c r="H6" i="4" a="1"/>
  <c r="H5" i="4" a="1"/>
  <c r="H4" i="4" a="1"/>
  <c r="H23" i="5" l="1" a="1"/>
  <c r="F23" i="5" a="1"/>
  <c r="H24" i="5" a="1"/>
  <c r="F24" i="5" a="1"/>
  <c r="E23" i="5"/>
  <c r="I19" i="6"/>
  <c r="I6" i="6"/>
  <c r="G23" i="5" l="1"/>
  <c r="I23" i="5"/>
  <c r="G7" i="6"/>
  <c r="E6" i="6"/>
  <c r="C8" i="6"/>
  <c r="C7" i="6"/>
  <c r="C6" i="6"/>
  <c r="G6" i="6"/>
  <c r="E28" i="6"/>
  <c r="C28" i="6"/>
  <c r="G28" i="6" s="1"/>
  <c r="E27" i="6"/>
  <c r="C27" i="6"/>
  <c r="G27" i="6" s="1"/>
  <c r="E26" i="6"/>
  <c r="G26" i="6" s="1"/>
  <c r="C26" i="6"/>
  <c r="E25" i="6"/>
  <c r="G25" i="6" s="1"/>
  <c r="C25" i="6"/>
  <c r="E24" i="6"/>
  <c r="C24" i="6"/>
  <c r="G24" i="6" s="1"/>
  <c r="G23" i="6"/>
  <c r="E23" i="6"/>
  <c r="C23" i="6"/>
  <c r="E22" i="6"/>
  <c r="C22" i="6"/>
  <c r="G22" i="6" s="1"/>
  <c r="E21" i="6"/>
  <c r="C21" i="6"/>
  <c r="G21" i="6" s="1"/>
  <c r="E20" i="6"/>
  <c r="C20" i="6"/>
  <c r="G20" i="6" s="1"/>
  <c r="E19" i="6"/>
  <c r="C19" i="6"/>
  <c r="G19" i="6" s="1"/>
  <c r="G15" i="6"/>
  <c r="E15" i="6"/>
  <c r="C15" i="6"/>
  <c r="E14" i="6"/>
  <c r="G14" i="6" s="1"/>
  <c r="C14" i="6"/>
  <c r="E13" i="6"/>
  <c r="C13" i="6"/>
  <c r="G13" i="6" s="1"/>
  <c r="E12" i="6"/>
  <c r="C12" i="6"/>
  <c r="G12" i="6" s="1"/>
  <c r="G11" i="6"/>
  <c r="E11" i="6"/>
  <c r="C11" i="6"/>
  <c r="E10" i="6"/>
  <c r="G10" i="6" s="1"/>
  <c r="C10" i="6"/>
  <c r="E9" i="6"/>
  <c r="C9" i="6"/>
  <c r="E8" i="6"/>
  <c r="E7" i="6"/>
  <c r="F11" i="4" a="1"/>
  <c r="I5" i="4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H20" i="5" s="1" a="1"/>
  <c r="D21" i="5"/>
  <c r="D22" i="5"/>
  <c r="H22" i="5" s="1" a="1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4" i="4"/>
  <c r="D3" i="5"/>
  <c r="E3" i="5" s="1"/>
  <c r="I3" i="4"/>
  <c r="F30" i="4" a="1"/>
  <c r="F29" i="4" a="1"/>
  <c r="F28" i="4" a="1"/>
  <c r="F27" i="4" a="1"/>
  <c r="F26" i="4" a="1"/>
  <c r="F25" i="4" a="1"/>
  <c r="F24" i="4" a="1"/>
  <c r="F23" i="4" a="1"/>
  <c r="F22" i="4" a="1"/>
  <c r="F21" i="4" a="1"/>
  <c r="F20" i="4" a="1"/>
  <c r="F19" i="4" a="1"/>
  <c r="F18" i="4" a="1"/>
  <c r="F17" i="4" a="1"/>
  <c r="F16" i="4" a="1"/>
  <c r="F15" i="4" a="1"/>
  <c r="F14" i="4" a="1"/>
  <c r="F13" i="4" a="1"/>
  <c r="F12" i="4" a="1"/>
  <c r="F10" i="4" a="1"/>
  <c r="F9" i="4" a="1"/>
  <c r="F8" i="4" a="1"/>
  <c r="F7" i="4" a="1"/>
  <c r="F6" i="4" a="1"/>
  <c r="F5" i="4" a="1"/>
  <c r="F4" i="4" a="1"/>
  <c r="F3" i="4" a="1"/>
  <c r="E3" i="4"/>
  <c r="E9" i="5" l="1"/>
  <c r="F4" i="5" a="1"/>
  <c r="H4" i="5" a="1"/>
  <c r="H5" i="5" a="1"/>
  <c r="F5" i="5" a="1"/>
  <c r="H6" i="5" a="1"/>
  <c r="F6" i="5" a="1"/>
  <c r="F7" i="5" a="1"/>
  <c r="H7" i="5" a="1"/>
  <c r="H8" i="5" a="1"/>
  <c r="F8" i="5" a="1"/>
  <c r="F9" i="5" a="1"/>
  <c r="H9" i="5" a="1"/>
  <c r="F10" i="5" a="1"/>
  <c r="H10" i="5" a="1"/>
  <c r="H11" i="5" a="1"/>
  <c r="F11" i="5" a="1"/>
  <c r="F12" i="5" a="1"/>
  <c r="H12" i="5" a="1"/>
  <c r="F13" i="5" a="1"/>
  <c r="H13" i="5" a="1"/>
  <c r="F14" i="5" a="1"/>
  <c r="H14" i="5" a="1"/>
  <c r="H15" i="5" a="1"/>
  <c r="F15" i="5" a="1"/>
  <c r="H16" i="5" a="1"/>
  <c r="F16" i="5" a="1"/>
  <c r="F17" i="5" a="1"/>
  <c r="H17" i="5" a="1"/>
  <c r="F18" i="5" a="1"/>
  <c r="H18" i="5" a="1"/>
  <c r="F19" i="5" a="1"/>
  <c r="H19" i="5" a="1"/>
  <c r="E20" i="5"/>
  <c r="F20" i="5" a="1"/>
  <c r="H21" i="5" a="1"/>
  <c r="F21" i="5" a="1"/>
  <c r="F22" i="5" a="1"/>
  <c r="H25" i="5" a="1"/>
  <c r="E25" i="5"/>
  <c r="F25" i="5" a="1"/>
  <c r="H26" i="5" a="1"/>
  <c r="F26" i="5" a="1"/>
  <c r="E27" i="5"/>
  <c r="H27" i="5" a="1"/>
  <c r="F27" i="5" a="1"/>
  <c r="H28" i="5" a="1"/>
  <c r="F28" i="5" a="1"/>
  <c r="F29" i="5" a="1"/>
  <c r="H29" i="5" a="1"/>
  <c r="F30" i="5" a="1"/>
  <c r="H30" i="5" a="1"/>
  <c r="F31" i="5" a="1"/>
  <c r="H31" i="5" a="1"/>
  <c r="E32" i="5"/>
  <c r="F32" i="5" a="1"/>
  <c r="H32" i="5" a="1"/>
  <c r="F33" i="5" a="1"/>
  <c r="H33" i="5" a="1"/>
  <c r="H34" i="5" a="1"/>
  <c r="F34" i="5" a="1"/>
  <c r="H35" i="5" a="1"/>
  <c r="F35" i="5" a="1"/>
  <c r="E35" i="5"/>
  <c r="F36" i="5" a="1"/>
  <c r="H36" i="5" a="1"/>
  <c r="F37" i="5" a="1"/>
  <c r="H37" i="5" a="1"/>
  <c r="H38" i="5" a="1"/>
  <c r="F38" i="5" a="1"/>
  <c r="H39" i="5" a="1"/>
  <c r="F39" i="5" a="1"/>
  <c r="F40" i="5" a="1"/>
  <c r="H40" i="5" a="1"/>
  <c r="H41" i="5" a="1"/>
  <c r="F41" i="5" a="1"/>
  <c r="F42" i="5" a="1"/>
  <c r="H42" i="5" a="1"/>
  <c r="H43" i="5" a="1"/>
  <c r="F43" i="5" a="1"/>
  <c r="H44" i="5" a="1"/>
  <c r="F44" i="5" a="1"/>
  <c r="H45" i="5" a="1"/>
  <c r="F45" i="5" a="1"/>
  <c r="F46" i="5" a="1"/>
  <c r="H46" i="5" a="1"/>
  <c r="H47" i="5" a="1"/>
  <c r="F47" i="5" a="1"/>
  <c r="H48" i="5" a="1"/>
  <c r="F48" i="5" a="1"/>
  <c r="F49" i="5" a="1"/>
  <c r="H49" i="5" a="1"/>
  <c r="F50" i="5" a="1"/>
  <c r="H50" i="5" a="1"/>
  <c r="F51" i="5" a="1"/>
  <c r="H51" i="5" a="1"/>
  <c r="F52" i="5" a="1"/>
  <c r="H52" i="5" a="1"/>
  <c r="F53" i="5" a="1"/>
  <c r="H53" i="5" a="1"/>
  <c r="F54" i="5" a="1"/>
  <c r="H54" i="5" a="1"/>
  <c r="F55" i="5" a="1"/>
  <c r="H55" i="5" a="1"/>
  <c r="F56" i="5" a="1"/>
  <c r="H56" i="5" a="1"/>
  <c r="F57" i="5" a="1"/>
  <c r="H57" i="5" a="1"/>
  <c r="F58" i="5" a="1"/>
  <c r="H58" i="5" a="1"/>
  <c r="H59" i="5" a="1"/>
  <c r="F59" i="5" a="1"/>
  <c r="H3" i="5" a="1"/>
  <c r="F3" i="5" a="1"/>
  <c r="G9" i="6"/>
  <c r="L6" i="6" s="1"/>
  <c r="M6" i="6" s="1"/>
  <c r="G8" i="6"/>
  <c r="N6" i="6"/>
  <c r="O6" i="6" s="1"/>
  <c r="G5" i="4"/>
  <c r="G3" i="4"/>
  <c r="G3" i="5" l="1"/>
  <c r="I9" i="5"/>
  <c r="M8" i="5" s="1"/>
  <c r="G20" i="5"/>
  <c r="G25" i="5"/>
  <c r="I27" i="5"/>
  <c r="M11" i="5" s="1"/>
  <c r="I32" i="5"/>
  <c r="M12" i="5" s="1"/>
  <c r="I35" i="5"/>
  <c r="M13" i="5" s="1"/>
  <c r="I3" i="5"/>
  <c r="M7" i="5" s="1"/>
  <c r="G9" i="5"/>
  <c r="I20" i="5"/>
  <c r="M9" i="5" s="1"/>
  <c r="I25" i="5"/>
  <c r="M10" i="5" s="1"/>
  <c r="G27" i="5"/>
  <c r="G32" i="5"/>
  <c r="G35" i="5"/>
  <c r="R6" i="6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" i="4"/>
  <c r="E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 Nicoli</author>
  </authors>
  <commentList>
    <comment ref="C1" authorId="0" shapeId="0" xr:uid="{7569B714-B17D-4FAD-8F7C-FEE200E4A9BF}">
      <text>
        <r>
          <rPr>
            <b/>
            <sz val="9"/>
            <color indexed="81"/>
            <rFont val="Tahoma"/>
            <family val="2"/>
          </rPr>
          <t xml:space="preserve">Ref: </t>
        </r>
        <r>
          <rPr>
            <sz val="9"/>
            <color indexed="81"/>
            <rFont val="Tahoma"/>
            <family val="2"/>
          </rPr>
          <t>European Commission, “Study on the critical raw materials for the EU 2023 : final report.,” 2023. doi: 10.2873/725585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 Nicoli</author>
  </authors>
  <commentList>
    <comment ref="C2" authorId="0" shapeId="0" xr:uid="{877FABA0-EA88-407E-9543-BA627ED67AA1}">
      <text>
        <r>
          <rPr>
            <b/>
            <sz val="9"/>
            <color indexed="81"/>
            <rFont val="Tahoma"/>
            <family val="2"/>
          </rPr>
          <t xml:space="preserve">Ref: </t>
        </r>
        <r>
          <rPr>
            <sz val="9"/>
            <color indexed="81"/>
            <rFont val="Tahoma"/>
            <family val="2"/>
          </rPr>
          <t>International Energy Agency (IEA), “The Role of Critical Minerals in Clean Energy Transitions – Analysis - IEA,” 2021. Accessed: Nov. 29, 2023. [Online]. Available: https://www.iea.org/reports/the-role-of-critical-minerals-in-clean-energy-transitions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<sst xmlns="http://schemas.openxmlformats.org/spreadsheetml/2006/main" count="236" uniqueCount="127">
  <si>
    <t>CER</t>
  </si>
  <si>
    <t>CHR</t>
  </si>
  <si>
    <t>COB</t>
  </si>
  <si>
    <t>COP</t>
  </si>
  <si>
    <t>DYS</t>
  </si>
  <si>
    <t>EUP</t>
  </si>
  <si>
    <t>GAD</t>
  </si>
  <si>
    <t>GAL</t>
  </si>
  <si>
    <t>GER</t>
  </si>
  <si>
    <t>GRA</t>
  </si>
  <si>
    <t>IND</t>
  </si>
  <si>
    <t>LAN</t>
  </si>
  <si>
    <t>LIT</t>
  </si>
  <si>
    <t>MAG</t>
  </si>
  <si>
    <t>MAN</t>
  </si>
  <si>
    <t>MOL</t>
  </si>
  <si>
    <t>NEO</t>
  </si>
  <si>
    <t>NIC</t>
  </si>
  <si>
    <t>NIO</t>
  </si>
  <si>
    <t>PAL</t>
  </si>
  <si>
    <t>PRA</t>
  </si>
  <si>
    <t>SIV</t>
  </si>
  <si>
    <t>TAN</t>
  </si>
  <si>
    <t>TER</t>
  </si>
  <si>
    <t>VAN</t>
  </si>
  <si>
    <t>YTT</t>
  </si>
  <si>
    <t>ALU</t>
  </si>
  <si>
    <t>BOR</t>
  </si>
  <si>
    <t>FLU</t>
  </si>
  <si>
    <t>IRI</t>
  </si>
  <si>
    <t>PHO</t>
  </si>
  <si>
    <t>PLA</t>
  </si>
  <si>
    <t>SIL</t>
  </si>
  <si>
    <t>TIT</t>
  </si>
  <si>
    <t>ZIR</t>
  </si>
  <si>
    <t>Material</t>
  </si>
  <si>
    <t>Dysprosium</t>
  </si>
  <si>
    <t>Gadolinium</t>
  </si>
  <si>
    <t>Palladium</t>
  </si>
  <si>
    <t>Europium</t>
  </si>
  <si>
    <t>Praseodymium</t>
  </si>
  <si>
    <t>Tantalum</t>
  </si>
  <si>
    <t>Manganese</t>
  </si>
  <si>
    <t>Vanadium</t>
  </si>
  <si>
    <t>Terbium</t>
  </si>
  <si>
    <t>Platinum</t>
  </si>
  <si>
    <t>Fluorspar</t>
  </si>
  <si>
    <t>Gallium</t>
  </si>
  <si>
    <t>Niobium</t>
  </si>
  <si>
    <t>Lithium</t>
  </si>
  <si>
    <t>Magnesium</t>
  </si>
  <si>
    <t>Molybdenum</t>
  </si>
  <si>
    <t>Cerium</t>
  </si>
  <si>
    <t>Silver</t>
  </si>
  <si>
    <t>Iridium</t>
  </si>
  <si>
    <t>Germanium</t>
  </si>
  <si>
    <t>Zirconium</t>
  </si>
  <si>
    <t>Boron</t>
  </si>
  <si>
    <t>Chromium</t>
  </si>
  <si>
    <t>Cobalt</t>
  </si>
  <si>
    <t>Indium</t>
  </si>
  <si>
    <t>Neodymium</t>
  </si>
  <si>
    <t>Nickel</t>
  </si>
  <si>
    <t>Lanthanum</t>
  </si>
  <si>
    <t>Titanium</t>
  </si>
  <si>
    <t>Copper</t>
  </si>
  <si>
    <t>Yttrium</t>
  </si>
  <si>
    <t>Technology</t>
  </si>
  <si>
    <t>Graphite</t>
  </si>
  <si>
    <t>kg/vehicle</t>
  </si>
  <si>
    <t>Internal Combustion Engines</t>
  </si>
  <si>
    <t>Battery Electric Vehicles</t>
  </si>
  <si>
    <t>Supply Risk</t>
  </si>
  <si>
    <t>Silicon</t>
  </si>
  <si>
    <t>Hydropower</t>
  </si>
  <si>
    <t>Bioenergy</t>
  </si>
  <si>
    <t xml:space="preserve">Coal </t>
  </si>
  <si>
    <t>kg/MW</t>
  </si>
  <si>
    <t>Global Consumption (t)</t>
  </si>
  <si>
    <t>MI_m</t>
  </si>
  <si>
    <t>Material Consumption</t>
  </si>
  <si>
    <t>SR(MI_1)</t>
  </si>
  <si>
    <t>SR(MI_2)</t>
  </si>
  <si>
    <t>SR(cons)</t>
  </si>
  <si>
    <t>t/cap</t>
  </si>
  <si>
    <t>Nuclear</t>
  </si>
  <si>
    <t>Natural Gas &amp; Oil</t>
  </si>
  <si>
    <t>Wind</t>
  </si>
  <si>
    <t>PV</t>
  </si>
  <si>
    <t>Aluminium</t>
  </si>
  <si>
    <t>Phosphate Rock</t>
  </si>
  <si>
    <t>MI_m*SR_m</t>
  </si>
  <si>
    <t>MI_m*SR_m/cons_m</t>
  </si>
  <si>
    <t>WGI</t>
  </si>
  <si>
    <t>Interactive Data Access | Worldwide Governance Indicators</t>
  </si>
  <si>
    <t>Data on suppliers</t>
  </si>
  <si>
    <t>CRMS 2023 - SCRREEN3</t>
  </si>
  <si>
    <t>Global</t>
  </si>
  <si>
    <t>Concentration score (global supply)</t>
  </si>
  <si>
    <t>Country</t>
  </si>
  <si>
    <t>Share</t>
  </si>
  <si>
    <t>HHI contrib</t>
  </si>
  <si>
    <t>WGI scaled</t>
  </si>
  <si>
    <t>HHI_WGI_t contrib</t>
  </si>
  <si>
    <t>(HHIWGI-tc)GS</t>
  </si>
  <si>
    <t>IR</t>
  </si>
  <si>
    <t>Sourcing global, IR weighted</t>
  </si>
  <si>
    <t>(HHIWGI-tc)EU</t>
  </si>
  <si>
    <t>Sourcing EU, IR weighted</t>
  </si>
  <si>
    <t>EoL-RIR</t>
  </si>
  <si>
    <t>SISR</t>
  </si>
  <si>
    <t>SR Score</t>
  </si>
  <si>
    <t>Chile</t>
  </si>
  <si>
    <t>China</t>
  </si>
  <si>
    <t>Argentina</t>
  </si>
  <si>
    <t>EU</t>
  </si>
  <si>
    <t>Concentration score (EU supply)</t>
  </si>
  <si>
    <t>Switzerland</t>
  </si>
  <si>
    <t>USA</t>
  </si>
  <si>
    <t>tc</t>
  </si>
  <si>
    <t>Inputs</t>
  </si>
  <si>
    <t>Assumptions</t>
  </si>
  <si>
    <t>t/kvehicles</t>
  </si>
  <si>
    <t>Geothermal</t>
  </si>
  <si>
    <t>Solar PV</t>
  </si>
  <si>
    <t>Coal</t>
  </si>
  <si>
    <t>Natural gas &amp;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</si>
</sst>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theme="5" tint="-0.24994659260841701"/>
      <name val="Aptos Narrow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0" fontId="3" fillId="0" borderId="0"/>
    <xf numFmtId="0" fontId="4" fillId="0" borderId="0"/>
    <xf numFmtId="1" fontId="6" fillId="0" borderId="0" applyNumberFormat="0" applyAlignment="0" applyProtection="0">
      <alignment horizontal="center"/>
    </xf>
    <xf numFmtId="0" fontId="2" fillId="0" borderId="1" applyNumberFormat="0" applyFill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2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3" borderId="2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</cellStyleXfs>
  <cellXfs count="86">
    <xf numFmtId="0" fontId="0" fillId="0" borderId="0" xfId="0"/>
    <xf numFmtId="0" fontId="9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1" fontId="1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2" fontId="15" fillId="0" borderId="0" xfId="0" applyNumberFormat="1" applyFont="1" applyAlignment="1">
      <alignment horizontal="center" vertical="center" wrapText="1"/>
    </xf>
    <xf numFmtId="11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1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1" fontId="15" fillId="0" borderId="3" xfId="0" applyNumberFormat="1" applyFont="1" applyBorder="1" applyAlignment="1">
      <alignment horizontal="center"/>
    </xf>
    <xf numFmtId="11" fontId="15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0" fillId="0" borderId="4" xfId="0" applyBorder="1"/>
    <xf numFmtId="0" fontId="17" fillId="0" borderId="3" xfId="0" applyFont="1" applyBorder="1" applyAlignment="1">
      <alignment horizontal="center" vertical="center" wrapText="1"/>
    </xf>
    <xf numFmtId="11" fontId="17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17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1" fontId="0" fillId="0" borderId="3" xfId="0" applyNumberFormat="1" applyBorder="1" applyAlignment="1">
      <alignment horizontal="center" vertical="center" wrapText="1"/>
    </xf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15" fillId="0" borderId="3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15" fillId="0" borderId="3" xfId="0" applyNumberFormat="1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5" fillId="0" borderId="4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11" fontId="15" fillId="0" borderId="0" xfId="0" applyNumberFormat="1" applyFont="1" applyAlignment="1">
      <alignment horizontal="center"/>
    </xf>
    <xf numFmtId="11" fontId="0" fillId="0" borderId="3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10" fillId="0" borderId="0" xfId="0" applyFont="1"/>
    <xf numFmtId="0" fontId="18" fillId="0" borderId="0" xfId="54"/>
    <xf numFmtId="0" fontId="10" fillId="0" borderId="5" xfId="0" applyFont="1" applyBorder="1"/>
    <xf numFmtId="0" fontId="10" fillId="0" borderId="6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0" fillId="4" borderId="7" xfId="0" applyFill="1" applyBorder="1"/>
    <xf numFmtId="2" fontId="0" fillId="4" borderId="7" xfId="0" applyNumberFormat="1" applyFill="1" applyBorder="1"/>
    <xf numFmtId="0" fontId="0" fillId="0" borderId="7" xfId="0" applyBorder="1"/>
    <xf numFmtId="2" fontId="0" fillId="0" borderId="7" xfId="0" applyNumberFormat="1" applyBorder="1"/>
    <xf numFmtId="164" fontId="0" fillId="0" borderId="7" xfId="0" applyNumberFormat="1" applyBorder="1"/>
    <xf numFmtId="2" fontId="0" fillId="0" borderId="0" xfId="0" applyNumberFormat="1"/>
    <xf numFmtId="0" fontId="0" fillId="5" borderId="7" xfId="0" applyFill="1" applyBorder="1"/>
    <xf numFmtId="2" fontId="0" fillId="5" borderId="7" xfId="0" applyNumberFormat="1" applyFill="1" applyBorder="1"/>
    <xf numFmtId="11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1" fontId="15" fillId="0" borderId="3" xfId="0" applyNumberFormat="1" applyFont="1" applyBorder="1" applyAlignment="1">
      <alignment horizontal="center" vertical="center"/>
    </xf>
    <xf numFmtId="11" fontId="15" fillId="0" borderId="4" xfId="0" applyNumberFormat="1" applyFont="1" applyBorder="1" applyAlignment="1">
      <alignment horizontal="center" vertical="center"/>
    </xf>
    <xf numFmtId="11" fontId="15" fillId="0" borderId="0" xfId="0" applyNumberFormat="1" applyFont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1" fontId="0" fillId="0" borderId="0" xfId="0" applyNumberFormat="1"/>
  </cellXfs>
  <cellStyles count="55">
    <cellStyle name="calculated" xfId="3" xr:uid="{067DA9CD-14E7-48FE-87F1-172B97A1953E}"/>
    <cellStyle name="Calculation 2" xfId="4" xr:uid="{232843AB-604A-4FCE-A947-8E00ED10043F}"/>
    <cellStyle name="Collegamento ipertestuale" xfId="54" builtinId="8"/>
    <cellStyle name="Comma 10" xfId="5" xr:uid="{E3FA70D8-3D96-4BA2-8085-A8157D7650CF}"/>
    <cellStyle name="Comma 11" xfId="6" xr:uid="{26517464-2BF2-4C41-82EC-CF912E0D864F}"/>
    <cellStyle name="Comma 2" xfId="7" xr:uid="{ABF74F7B-C292-4BF7-9132-D01E69199804}"/>
    <cellStyle name="Comma 2 2" xfId="8" xr:uid="{AE51B4AA-7A2B-4EC0-8EA7-CA2F2D325DC6}"/>
    <cellStyle name="Comma 2 3" xfId="9" xr:uid="{69537B01-6668-49C2-9E56-690317ABDF6B}"/>
    <cellStyle name="Comma 2 4" xfId="10" xr:uid="{3C9C5184-995C-41FB-BF6C-A56EFBBD12E8}"/>
    <cellStyle name="Comma 2 5" xfId="11" xr:uid="{6EA3043D-5532-46C9-BFBF-C22F6229DBA8}"/>
    <cellStyle name="Comma 3" xfId="12" xr:uid="{23FDAEB7-FC5E-4363-8011-D02E7FB9B415}"/>
    <cellStyle name="Hyperlink 3" xfId="13" xr:uid="{4360C297-01F0-43CB-805C-F406FAEC2FD4}"/>
    <cellStyle name="Neutral 2" xfId="14" xr:uid="{A95200CD-5904-49AC-B0A1-44B58048EE39}"/>
    <cellStyle name="Normal 10" xfId="15" xr:uid="{F3FB8705-00D2-453B-AA18-E673B1B2FF78}"/>
    <cellStyle name="Normal 11" xfId="16" xr:uid="{DC8A72B6-95EA-4EEF-9D1D-C3B0B53BC8A6}"/>
    <cellStyle name="Normal 11 2" xfId="17" xr:uid="{31DAC5F5-F072-48AE-9AF2-2D21570A9C4C}"/>
    <cellStyle name="Normal 11 3" xfId="18" xr:uid="{7F5CE3B8-6D68-43CA-838C-5E2B16ECABE9}"/>
    <cellStyle name="Normal 11 4" xfId="19" xr:uid="{EE8CF984-F00B-40A7-AF28-22957C948ECF}"/>
    <cellStyle name="Normal 12" xfId="20" xr:uid="{C2DF83C4-19BA-459E-90E8-67D3BF830A04}"/>
    <cellStyle name="Normal 12 2" xfId="21" xr:uid="{F3B17A0B-4712-4176-8945-E6997E3D8808}"/>
    <cellStyle name="Normal 12 3" xfId="22" xr:uid="{304951CA-4CEB-4338-98BF-0637788334C5}"/>
    <cellStyle name="Normal 12 4" xfId="23" xr:uid="{5EB5DAB0-0EE5-492D-9B3F-E7CCFF4E1477}"/>
    <cellStyle name="Normal 2" xfId="24" xr:uid="{D9178ABD-8974-4872-99E2-1C6FB8637AE3}"/>
    <cellStyle name="Normal 2 2" xfId="25" xr:uid="{CFF7BC00-AE5F-4E6F-8907-57EF59A4599C}"/>
    <cellStyle name="Normal 2 3" xfId="26" xr:uid="{79DB9C01-4E33-4464-BCFB-CB4A8D0640AF}"/>
    <cellStyle name="Normal 2 4" xfId="27" xr:uid="{07A6ED45-7849-49CE-8BE4-742F474C893A}"/>
    <cellStyle name="Normal 3" xfId="28" xr:uid="{F6547531-3B0F-45CF-9279-380651194093}"/>
    <cellStyle name="Normal 39" xfId="29" xr:uid="{FA20E2F3-508D-49C9-8EDF-BF96BC6874FC}"/>
    <cellStyle name="Normal 4" xfId="1" xr:uid="{60991CC5-BA52-4BAF-A52F-72EDD7C3A089}"/>
    <cellStyle name="Normal 4 2" xfId="30" xr:uid="{0C5D28C6-04B2-4BDD-A5C3-C8DA09057B7A}"/>
    <cellStyle name="Normal 5" xfId="2" xr:uid="{6216B713-8718-4B18-A3CA-6720F9A3D04C}"/>
    <cellStyle name="Normal 8" xfId="31" xr:uid="{55D2702A-37A1-4A02-A061-9D433B0DA58D}"/>
    <cellStyle name="Normal 9 2" xfId="32" xr:uid="{3D31B0F0-4212-42BF-81F0-942DD6EC000F}"/>
    <cellStyle name="Normale" xfId="0" builtinId="0"/>
    <cellStyle name="Note 2" xfId="33" xr:uid="{06F8939B-14E9-4554-BB71-16CE294BF05C}"/>
    <cellStyle name="Percent 2" xfId="34" xr:uid="{89C0FD1B-6E17-46FE-AC5A-1109F0EE9291}"/>
    <cellStyle name="Percent 2 2" xfId="35" xr:uid="{3CB91EF3-23EB-434E-965E-2D813D76B3BD}"/>
    <cellStyle name="Percent 2 2 2" xfId="36" xr:uid="{F9CEC429-3A07-4682-A7B8-BBC1F03A2216}"/>
    <cellStyle name="Percent 2 3" xfId="37" xr:uid="{31BC33D8-1560-439E-A868-DDFD73F0B911}"/>
    <cellStyle name="Percent 3" xfId="38" xr:uid="{74979F57-0EA4-4F8B-A574-F4F6FD2D2DEC}"/>
    <cellStyle name="Percent 3 2" xfId="39" xr:uid="{4429995E-D80D-41CB-A840-9A59D4208B9C}"/>
    <cellStyle name="Percent 3 2 2" xfId="40" xr:uid="{43F0F8C6-AC41-4A27-A071-122225A61478}"/>
    <cellStyle name="Percent 3 3" xfId="41" xr:uid="{856A4CC2-7B66-4B58-9124-0D5E0B6A280C}"/>
    <cellStyle name="Percent 3 4" xfId="42" xr:uid="{D6BDC685-E9DE-44AD-85E5-B18C0893A9A7}"/>
    <cellStyle name="Percent 4" xfId="43" xr:uid="{A6AFFEC2-BE24-4988-93A8-99D4CD36E768}"/>
    <cellStyle name="Percent 4 2" xfId="44" xr:uid="{30B926FF-4104-4F35-8D7A-7E977FD01568}"/>
    <cellStyle name="Percent 4 3" xfId="45" xr:uid="{6248F8F2-5D50-4092-81A4-AF54DD119386}"/>
    <cellStyle name="Percent 4 4" xfId="46" xr:uid="{714C2058-B7E7-4844-9B07-8055FF2E4ADF}"/>
    <cellStyle name="Percent 5" xfId="47" xr:uid="{9FA0198A-9785-4E1B-A626-4344E2797379}"/>
    <cellStyle name="Percent 5 2" xfId="48" xr:uid="{F1434503-F83F-4CC3-9BC8-24BD89B82207}"/>
    <cellStyle name="Percent 6" xfId="49" xr:uid="{EFE5E689-19A2-4BF8-A1F2-30FC9064E967}"/>
    <cellStyle name="Percent 6 2" xfId="50" xr:uid="{AD1C9805-BB96-41F1-BDB5-BFB1A9EA788E}"/>
    <cellStyle name="Percent 7" xfId="51" xr:uid="{78C10CD5-1F82-4A0F-B39C-C14EEBE6E00B}"/>
    <cellStyle name="Percent 8" xfId="52" xr:uid="{0F13FC2C-ECA6-405F-BB57-FE79C78385B3}"/>
    <cellStyle name="Standard_Sce_D_Extraction" xfId="53" xr:uid="{3AA26285-795F-42C5-93D2-533EE2FA9EA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 Plants'!$L$7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'Power Plants'!$M$7</c:f>
              <c:numCache>
                <c:formatCode>0.00E+00</c:formatCode>
                <c:ptCount val="1"/>
                <c:pt idx="0">
                  <c:v>7.6614524264406617E-4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2-4A9B-8D7D-20CE12FDBCA0}"/>
            </c:ext>
          </c:extLst>
        </c:ser>
        <c:ser>
          <c:idx val="1"/>
          <c:order val="1"/>
          <c:tx>
            <c:strRef>
              <c:f>'Power Plants'!$L$8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'Power Plants'!$M$8</c:f>
              <c:numCache>
                <c:formatCode>0.00E+00</c:formatCode>
                <c:ptCount val="1"/>
                <c:pt idx="0">
                  <c:v>2.882918300782877E-2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2-4A9B-8D7D-20CE12FDBCA0}"/>
            </c:ext>
          </c:extLst>
        </c:ser>
        <c:ser>
          <c:idx val="2"/>
          <c:order val="2"/>
          <c:tx>
            <c:strRef>
              <c:f>'Power Plants'!$L$9</c:f>
              <c:strCache>
                <c:ptCount val="1"/>
                <c:pt idx="0">
                  <c:v>Hydropower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'Power Plants'!$M$9</c:f>
              <c:numCache>
                <c:formatCode>0.00E+00</c:formatCode>
                <c:ptCount val="1"/>
                <c:pt idx="0">
                  <c:v>2.0450226244343893E-5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2-4A9B-8D7D-20CE12FDBCA0}"/>
            </c:ext>
          </c:extLst>
        </c:ser>
        <c:ser>
          <c:idx val="4"/>
          <c:order val="3"/>
          <c:tx>
            <c:strRef>
              <c:f>'Power Plants'!$L$10</c:f>
              <c:strCache>
                <c:ptCount val="1"/>
                <c:pt idx="0">
                  <c:v>Bioenergy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'Power Plants'!$M$10</c:f>
              <c:numCache>
                <c:formatCode>0.00E+00</c:formatCode>
                <c:ptCount val="1"/>
                <c:pt idx="0">
                  <c:v>9.1782167832167832E-4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22-4A9B-8D7D-20CE12FDBCA0}"/>
            </c:ext>
          </c:extLst>
        </c:ser>
        <c:ser>
          <c:idx val="5"/>
          <c:order val="4"/>
          <c:tx>
            <c:strRef>
              <c:f>'Power Plants'!$L$11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'Power Plants'!$M$11</c:f>
              <c:numCache>
                <c:formatCode>0.00E+00</c:formatCode>
                <c:ptCount val="1"/>
                <c:pt idx="0">
                  <c:v>1.8535515795968737E-3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22-4A9B-8D7D-20CE12FDBCA0}"/>
            </c:ext>
          </c:extLst>
        </c:ser>
        <c:ser>
          <c:idx val="6"/>
          <c:order val="5"/>
          <c:tx>
            <c:strRef>
              <c:f>'Power Plants'!$L$12</c:f>
              <c:strCache>
                <c:ptCount val="1"/>
                <c:pt idx="0">
                  <c:v>Natural gas &amp;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'Power Plants'!$M$12</c:f>
              <c:numCache>
                <c:formatCode>0.00E+00</c:formatCode>
                <c:ptCount val="1"/>
                <c:pt idx="0">
                  <c:v>7.3995486425339375E-6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22-4A9B-8D7D-20CE12FDBCA0}"/>
            </c:ext>
          </c:extLst>
        </c:ser>
        <c:ser>
          <c:idx val="7"/>
          <c:order val="6"/>
          <c:tx>
            <c:strRef>
              <c:f>'Power Plants'!$L$13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'Power Plants'!$M$13</c:f>
              <c:numCache>
                <c:formatCode>0.00E+00</c:formatCode>
                <c:ptCount val="1"/>
                <c:pt idx="0">
                  <c:v>4.5077616236595648E-3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22-4A9B-8D7D-20CE12FDB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411247"/>
        <c:axId val="222411727"/>
      </c:barChart>
      <c:catAx>
        <c:axId val="22241124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Technology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crossAx val="222411727"/>
        <c:crosses val="autoZero"/>
        <c:auto val="1"/>
        <c:lblAlgn val="ctr"/>
        <c:lblOffset val="100"/>
        <c:noMultiLvlLbl val="0"/>
      </c:catAx>
      <c:valAx>
        <c:axId val="2224117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Technology</a:t>
                </a:r>
                <a:r>
                  <a:rPr lang="it-IT" baseline="0"/>
                  <a:t> SR (1/MW)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241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18</xdr:col>
      <xdr:colOff>6350</xdr:colOff>
      <xdr:row>10</xdr:row>
      <xdr:rowOff>69900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E271FC37-40DA-4017-A712-3CCE06A63535}"/>
                </a:ext>
              </a:extLst>
            </xdr:cNvPr>
            <xdr:cNvSpPr txBox="1"/>
          </xdr:nvSpPr>
          <xdr:spPr>
            <a:xfrm>
              <a:off x="9982200" y="1289050"/>
              <a:ext cx="8299450" cy="62235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8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𝐒𝐑</m:t>
                    </m:r>
                    <m:r>
                      <a:rPr lang="it-IT" sz="18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it-IT" sz="18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it-IT" sz="1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it-IT" sz="18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it-IT" sz="1800" b="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HH</m:t>
                                </m:r>
                                <m:sSub>
                                  <m:sSubPr>
                                    <m:ctrlPr>
                                      <a:rPr lang="it-IT" sz="180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WGI</m:t>
                                    </m:r>
                                    <m: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m:rPr>
                                        <m:sty m:val="p"/>
                                      </m:rP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t</m:t>
                                    </m:r>
                                  </m:sub>
                                </m:sSub>
                              </m:e>
                            </m:d>
                          </m:e>
                          <m:sub>
                            <m:r>
                              <m:rPr>
                                <m:sty m:val="p"/>
                              </m:rPr>
                              <a:rPr lang="it-IT" sz="18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GS</m:t>
                            </m:r>
                          </m:sub>
                        </m:sSub>
                        <m:r>
                          <a:rPr lang="it-IT" sz="1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⋅</m:t>
                        </m:r>
                        <m:f>
                          <m:fPr>
                            <m:ctrlPr>
                              <a:rPr lang="it-IT" sz="1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it-IT" sz="18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IR</m:t>
                            </m:r>
                          </m:num>
                          <m:den>
                            <m:r>
                              <a:rPr lang="it-IT" sz="18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it-IT" sz="1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it-IT" sz="1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it-IT" sz="18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it-IT" sz="1800" b="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HH</m:t>
                                </m:r>
                                <m:sSub>
                                  <m:sSubPr>
                                    <m:ctrlPr>
                                      <a:rPr lang="it-IT" sz="180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I</m:t>
                                    </m:r>
                                  </m:e>
                                  <m:sub>
                                    <m:r>
                                      <m:rPr>
                                        <m:sty m:val="p"/>
                                      </m:rP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WGI</m:t>
                                    </m:r>
                                    <m: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m:rPr>
                                        <m:sty m:val="p"/>
                                      </m:rPr>
                                      <a:rPr lang="it-IT" sz="1800" b="0" i="0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t</m:t>
                                    </m:r>
                                  </m:sub>
                                </m:sSub>
                              </m:e>
                            </m:d>
                          </m:e>
                          <m:sub>
                            <m:r>
                              <m:rPr>
                                <m:sty m:val="p"/>
                              </m:rPr>
                              <a:rPr lang="it-IT" sz="18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EU</m:t>
                            </m:r>
                          </m:sub>
                        </m:sSub>
                        <m:r>
                          <a:rPr lang="it-IT" sz="1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⋅</m:t>
                        </m:r>
                        <m:d>
                          <m:dPr>
                            <m:ctrlPr>
                              <a:rPr lang="it-IT" sz="1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t-IT" sz="18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it-IT" sz="18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m:rPr>
                                    <m:sty m:val="p"/>
                                  </m:rPr>
                                  <a:rPr lang="it-IT" sz="1800" b="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IR</m:t>
                                </m:r>
                              </m:num>
                              <m:den>
                                <m:r>
                                  <a:rPr lang="it-IT" sz="1800" b="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e>
                    </m:d>
                    <m:r>
                      <a:rPr lang="it-IT" sz="18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ctrlPr>
                          <a:rPr lang="it-IT" sz="18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t-IT" sz="1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m:rPr>
                            <m:sty m:val="p"/>
                          </m:rPr>
                          <a:rPr lang="it-IT" sz="1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Eo</m:t>
                        </m:r>
                        <m:sSub>
                          <m:sSubPr>
                            <m:ctrlPr>
                              <a:rPr lang="it-IT" sz="1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it-IT" sz="18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it-IT" sz="18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RIR</m:t>
                            </m:r>
                          </m:sub>
                        </m:sSub>
                      </m:e>
                    </m:d>
                    <m:r>
                      <a:rPr lang="it-IT" sz="18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⋅</m:t>
                    </m:r>
                    <m:r>
                      <m:rPr>
                        <m:sty m:val="p"/>
                      </m:rPr>
                      <a:rPr lang="it-IT" sz="18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S</m:t>
                    </m:r>
                    <m:sSub>
                      <m:sSubPr>
                        <m:ctrlPr>
                          <a:rPr lang="it-IT" sz="18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it-IT" sz="1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it-IT" sz="1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SR</m:t>
                        </m:r>
                      </m:sub>
                    </m:sSub>
                  </m:oMath>
                </m:oMathPara>
              </a14:m>
              <a:endParaRPr lang="en-US" sz="18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E271FC37-40DA-4017-A712-3CCE06A63535}"/>
                </a:ext>
              </a:extLst>
            </xdr:cNvPr>
            <xdr:cNvSpPr txBox="1"/>
          </xdr:nvSpPr>
          <xdr:spPr>
            <a:xfrm>
              <a:off x="9982200" y="1289050"/>
              <a:ext cx="8299450" cy="62235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it-IT" sz="18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𝐒𝐑</a:t>
              </a:r>
              <a:r>
                <a:rPr lang="it-IT" sz="18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=</a:t>
              </a:r>
              <a:r>
                <a:rPr lang="it-IT" sz="1800" i="0">
                  <a:solidFill>
                    <a:schemeClr val="tx1"/>
                  </a:solidFill>
                  <a:latin typeface="Cambria Math" panose="02040503050406030204" pitchFamily="18" charset="0"/>
                </a:rPr>
                <a:t>[(</a:t>
              </a:r>
              <a:r>
                <a:rPr lang="it-IT" sz="18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HHI_(WGI−t) )_GS⋅IR/2+(HHI_(WGI−t) )_EU⋅(1−IR/2)]⋅</a:t>
              </a:r>
              <a:r>
                <a:rPr lang="it-IT" sz="1800" i="0">
                  <a:solidFill>
                    <a:schemeClr val="tx1"/>
                  </a:solidFill>
                  <a:latin typeface="Cambria Math" panose="02040503050406030204" pitchFamily="18" charset="0"/>
                </a:rPr>
                <a:t>(</a:t>
              </a:r>
              <a:r>
                <a:rPr lang="it-IT" sz="18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1−EoL_RIR )⋅SI_SR</a:t>
              </a:r>
              <a:endParaRPr lang="en-US" sz="18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17</xdr:row>
      <xdr:rowOff>100012</xdr:rowOff>
    </xdr:from>
    <xdr:to>
      <xdr:col>16</xdr:col>
      <xdr:colOff>257175</xdr:colOff>
      <xdr:row>31</xdr:row>
      <xdr:rowOff>176212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1ED8BAA-C3CE-6E1E-8063-6DB0D15FB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scrreen.eu/crms-2023/" TargetMode="External"/><Relationship Id="rId1" Type="http://schemas.openxmlformats.org/officeDocument/2006/relationships/hyperlink" Target="https://www.worldbank.org/en/publication/worldwide-governance-indicators/interactive-data-acces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F6A5-D11B-474E-BB17-3D42E50CD30D}">
  <dimension ref="A1:R28"/>
  <sheetViews>
    <sheetView workbookViewId="0">
      <selection activeCell="D7" sqref="D7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1.140625" customWidth="1"/>
    <col min="4" max="4" width="16.42578125" customWidth="1"/>
    <col min="5" max="5" width="15.5703125" customWidth="1"/>
    <col min="6" max="6" width="12.42578125" customWidth="1"/>
    <col min="7" max="7" width="15.5703125" customWidth="1"/>
    <col min="8" max="8" width="4.85546875" customWidth="1"/>
    <col min="9" max="9" width="30.85546875" bestFit="1" customWidth="1"/>
    <col min="10" max="10" width="4" customWidth="1"/>
    <col min="11" max="11" width="10.28515625" customWidth="1"/>
    <col min="12" max="12" width="15" customWidth="1"/>
    <col min="13" max="13" width="26.42578125" customWidth="1"/>
    <col min="14" max="14" width="15.5703125" customWidth="1"/>
    <col min="15" max="15" width="24.140625" customWidth="1"/>
    <col min="16" max="16" width="9.7109375" customWidth="1"/>
    <col min="17" max="17" width="7.140625" customWidth="1"/>
    <col min="18" max="18" width="10.42578125" customWidth="1"/>
    <col min="19" max="19" width="11.85546875" bestFit="1" customWidth="1"/>
  </cols>
  <sheetData>
    <row r="1" spans="1:18" x14ac:dyDescent="0.25">
      <c r="A1" s="51" t="s">
        <v>93</v>
      </c>
      <c r="B1" s="52" t="s">
        <v>94</v>
      </c>
      <c r="F1" s="58" t="s">
        <v>120</v>
      </c>
    </row>
    <row r="2" spans="1:18" x14ac:dyDescent="0.25">
      <c r="A2" s="51" t="s">
        <v>95</v>
      </c>
      <c r="B2" s="52" t="s">
        <v>96</v>
      </c>
      <c r="F2" s="64" t="s">
        <v>121</v>
      </c>
    </row>
    <row r="4" spans="1:18" x14ac:dyDescent="0.25">
      <c r="A4" s="53" t="s">
        <v>97</v>
      </c>
      <c r="B4" s="54"/>
      <c r="C4" s="55"/>
      <c r="D4" s="55"/>
      <c r="E4" s="55"/>
      <c r="F4" s="55"/>
      <c r="G4" s="55"/>
      <c r="I4" s="56" t="s">
        <v>98</v>
      </c>
    </row>
    <row r="5" spans="1:18" x14ac:dyDescent="0.25">
      <c r="A5" s="56" t="s">
        <v>99</v>
      </c>
      <c r="B5" s="57" t="s">
        <v>100</v>
      </c>
      <c r="C5" s="57" t="s">
        <v>101</v>
      </c>
      <c r="D5" s="57" t="s">
        <v>93</v>
      </c>
      <c r="E5" s="57" t="s">
        <v>102</v>
      </c>
      <c r="F5" s="57" t="s">
        <v>119</v>
      </c>
      <c r="G5" s="57" t="s">
        <v>103</v>
      </c>
      <c r="I5" s="56" t="s">
        <v>104</v>
      </c>
      <c r="K5" s="56" t="s">
        <v>105</v>
      </c>
      <c r="L5" s="56" t="s">
        <v>104</v>
      </c>
      <c r="M5" s="56" t="s">
        <v>106</v>
      </c>
      <c r="N5" s="56" t="s">
        <v>107</v>
      </c>
      <c r="O5" s="56" t="s">
        <v>108</v>
      </c>
      <c r="P5" s="56" t="s">
        <v>109</v>
      </c>
      <c r="Q5" s="56" t="s">
        <v>110</v>
      </c>
      <c r="R5" s="56" t="s">
        <v>111</v>
      </c>
    </row>
    <row r="6" spans="1:18" x14ac:dyDescent="0.25">
      <c r="A6" s="58" t="s">
        <v>112</v>
      </c>
      <c r="B6" s="59">
        <v>0.32</v>
      </c>
      <c r="C6" s="60">
        <f>(B6*100)^2</f>
        <v>1024</v>
      </c>
      <c r="D6" s="59">
        <v>0.5</v>
      </c>
      <c r="E6" s="61">
        <f>10-(D6+2.5)*2</f>
        <v>4</v>
      </c>
      <c r="F6" s="64">
        <v>1</v>
      </c>
      <c r="G6" s="61">
        <f>C6*E6*F6</f>
        <v>4096</v>
      </c>
      <c r="I6" s="61">
        <f>SUM(G6:G15)/10000</f>
        <v>2.3613800000000005</v>
      </c>
      <c r="K6" s="59">
        <v>1</v>
      </c>
      <c r="L6" s="61">
        <f>I6</f>
        <v>2.3613800000000005</v>
      </c>
      <c r="M6" s="61">
        <f>L6*K6/2</f>
        <v>1.1806900000000002</v>
      </c>
      <c r="N6" s="61">
        <f>I19</f>
        <v>2.5405199999999999</v>
      </c>
      <c r="O6" s="61">
        <f>N6*(1-K6/2)</f>
        <v>1.2702599999999999</v>
      </c>
      <c r="P6" s="64">
        <v>0.01</v>
      </c>
      <c r="Q6" s="65">
        <v>1</v>
      </c>
      <c r="R6" s="62">
        <f>(M6+O6)*(1-P6)*Q6</f>
        <v>2.4264405</v>
      </c>
    </row>
    <row r="7" spans="1:18" x14ac:dyDescent="0.25">
      <c r="A7" s="58" t="s">
        <v>113</v>
      </c>
      <c r="B7" s="59">
        <v>0.56000000000000005</v>
      </c>
      <c r="C7" s="60">
        <f>(B7*100)^2</f>
        <v>3136.0000000000009</v>
      </c>
      <c r="D7" s="59">
        <v>-0.5</v>
      </c>
      <c r="E7" s="61">
        <f t="shared" ref="E7:E15" si="0">10-(D7+2.5)*2</f>
        <v>6</v>
      </c>
      <c r="F7" s="64">
        <v>1</v>
      </c>
      <c r="G7" s="61">
        <f>C7*E7*F7</f>
        <v>18816.000000000007</v>
      </c>
    </row>
    <row r="8" spans="1:18" x14ac:dyDescent="0.25">
      <c r="A8" s="58" t="s">
        <v>114</v>
      </c>
      <c r="B8" s="59">
        <v>0.11</v>
      </c>
      <c r="C8" s="60">
        <f>(B8*100)^2</f>
        <v>121</v>
      </c>
      <c r="D8" s="59">
        <v>-0.4</v>
      </c>
      <c r="E8" s="61">
        <f t="shared" si="0"/>
        <v>5.8</v>
      </c>
      <c r="F8" s="64">
        <v>1</v>
      </c>
      <c r="G8" s="61">
        <f t="shared" ref="G8:G15" si="1">C8*E8*F8</f>
        <v>701.8</v>
      </c>
    </row>
    <row r="9" spans="1:18" x14ac:dyDescent="0.25">
      <c r="A9" s="58"/>
      <c r="B9" s="59"/>
      <c r="C9" s="60">
        <f t="shared" ref="C9:C15" si="2">(B9*100)^2</f>
        <v>0</v>
      </c>
      <c r="D9" s="59"/>
      <c r="E9" s="61">
        <f t="shared" si="0"/>
        <v>5</v>
      </c>
      <c r="F9" s="64">
        <v>1</v>
      </c>
      <c r="G9" s="61">
        <f t="shared" si="1"/>
        <v>0</v>
      </c>
    </row>
    <row r="10" spans="1:18" x14ac:dyDescent="0.25">
      <c r="A10" s="58"/>
      <c r="B10" s="59"/>
      <c r="C10" s="60">
        <f t="shared" si="2"/>
        <v>0</v>
      </c>
      <c r="D10" s="59"/>
      <c r="E10" s="61">
        <f t="shared" si="0"/>
        <v>5</v>
      </c>
      <c r="F10" s="64">
        <v>1</v>
      </c>
      <c r="G10" s="61">
        <f t="shared" si="1"/>
        <v>0</v>
      </c>
    </row>
    <row r="11" spans="1:18" x14ac:dyDescent="0.25">
      <c r="A11" s="58"/>
      <c r="B11" s="59"/>
      <c r="C11" s="60">
        <f t="shared" si="2"/>
        <v>0</v>
      </c>
      <c r="D11" s="59"/>
      <c r="E11" s="61">
        <f t="shared" si="0"/>
        <v>5</v>
      </c>
      <c r="F11" s="64">
        <v>1</v>
      </c>
      <c r="G11" s="61">
        <f t="shared" si="1"/>
        <v>0</v>
      </c>
    </row>
    <row r="12" spans="1:18" x14ac:dyDescent="0.25">
      <c r="A12" s="58"/>
      <c r="B12" s="59"/>
      <c r="C12" s="60">
        <f t="shared" si="2"/>
        <v>0</v>
      </c>
      <c r="D12" s="59"/>
      <c r="E12" s="61">
        <f t="shared" si="0"/>
        <v>5</v>
      </c>
      <c r="F12" s="64">
        <v>1</v>
      </c>
      <c r="G12" s="61">
        <f t="shared" si="1"/>
        <v>0</v>
      </c>
    </row>
    <row r="13" spans="1:18" x14ac:dyDescent="0.25">
      <c r="A13" s="58"/>
      <c r="B13" s="59"/>
      <c r="C13" s="60">
        <f t="shared" si="2"/>
        <v>0</v>
      </c>
      <c r="D13" s="59"/>
      <c r="E13" s="61">
        <f t="shared" si="0"/>
        <v>5</v>
      </c>
      <c r="F13" s="64">
        <v>1</v>
      </c>
      <c r="G13" s="61">
        <f t="shared" si="1"/>
        <v>0</v>
      </c>
    </row>
    <row r="14" spans="1:18" x14ac:dyDescent="0.25">
      <c r="A14" s="58"/>
      <c r="B14" s="59"/>
      <c r="C14" s="60">
        <f t="shared" si="2"/>
        <v>0</v>
      </c>
      <c r="D14" s="59"/>
      <c r="E14" s="61">
        <f t="shared" si="0"/>
        <v>5</v>
      </c>
      <c r="F14" s="64">
        <v>1</v>
      </c>
      <c r="G14" s="61">
        <f t="shared" si="1"/>
        <v>0</v>
      </c>
    </row>
    <row r="15" spans="1:18" x14ac:dyDescent="0.25">
      <c r="A15" s="58"/>
      <c r="B15" s="59"/>
      <c r="C15" s="60">
        <f t="shared" si="2"/>
        <v>0</v>
      </c>
      <c r="D15" s="59"/>
      <c r="E15" s="61">
        <f t="shared" si="0"/>
        <v>5</v>
      </c>
      <c r="F15" s="64">
        <v>1</v>
      </c>
      <c r="G15" s="61">
        <f t="shared" si="1"/>
        <v>0</v>
      </c>
    </row>
    <row r="16" spans="1:18" x14ac:dyDescent="0.25">
      <c r="D16" s="63"/>
    </row>
    <row r="17" spans="1:9" x14ac:dyDescent="0.25">
      <c r="A17" s="53" t="s">
        <v>115</v>
      </c>
      <c r="B17" s="54"/>
      <c r="C17" s="55"/>
      <c r="D17" s="55"/>
      <c r="E17" s="55"/>
      <c r="F17" s="55"/>
      <c r="G17" s="55"/>
      <c r="I17" s="56" t="s">
        <v>116</v>
      </c>
    </row>
    <row r="18" spans="1:9" x14ac:dyDescent="0.25">
      <c r="A18" s="56" t="s">
        <v>99</v>
      </c>
      <c r="B18" s="57" t="s">
        <v>100</v>
      </c>
      <c r="C18" s="57" t="s">
        <v>101</v>
      </c>
      <c r="D18" s="57" t="s">
        <v>93</v>
      </c>
      <c r="E18" s="57" t="s">
        <v>102</v>
      </c>
      <c r="F18" s="57" t="s">
        <v>119</v>
      </c>
      <c r="G18" s="57" t="s">
        <v>103</v>
      </c>
      <c r="I18" s="56" t="s">
        <v>107</v>
      </c>
    </row>
    <row r="19" spans="1:9" x14ac:dyDescent="0.25">
      <c r="A19" s="58" t="s">
        <v>112</v>
      </c>
      <c r="B19" s="59">
        <v>0.79</v>
      </c>
      <c r="C19" s="60">
        <f>(B19*100)^2</f>
        <v>6241</v>
      </c>
      <c r="D19" s="59">
        <v>0.5</v>
      </c>
      <c r="E19" s="61">
        <f>10-(D19+2.5)*2</f>
        <v>4</v>
      </c>
      <c r="F19" s="64">
        <v>1</v>
      </c>
      <c r="G19" s="61">
        <f>C19*E19*F19</f>
        <v>24964</v>
      </c>
      <c r="I19" s="61">
        <f>SUM(G19:G28)/10000</f>
        <v>2.5405199999999999</v>
      </c>
    </row>
    <row r="20" spans="1:9" x14ac:dyDescent="0.25">
      <c r="A20" s="58" t="s">
        <v>117</v>
      </c>
      <c r="B20" s="59">
        <v>7.0000000000000007E-2</v>
      </c>
      <c r="C20" s="60">
        <f t="shared" ref="C20:C28" si="3">(B20*100)^2</f>
        <v>49.000000000000014</v>
      </c>
      <c r="D20" s="59">
        <v>2</v>
      </c>
      <c r="E20" s="61">
        <f t="shared" ref="E20:E28" si="4">10-(D20+2.5)*2</f>
        <v>1</v>
      </c>
      <c r="F20" s="64">
        <v>1</v>
      </c>
      <c r="G20" s="61">
        <f t="shared" ref="G20:G28" si="5">C20*E20*F20</f>
        <v>49.000000000000014</v>
      </c>
    </row>
    <row r="21" spans="1:9" x14ac:dyDescent="0.25">
      <c r="A21" s="58" t="s">
        <v>114</v>
      </c>
      <c r="B21" s="59">
        <v>7.0000000000000007E-2</v>
      </c>
      <c r="C21" s="60">
        <f t="shared" si="3"/>
        <v>49.000000000000014</v>
      </c>
      <c r="D21" s="59">
        <v>-0.4</v>
      </c>
      <c r="E21" s="61">
        <f t="shared" si="4"/>
        <v>5.8</v>
      </c>
      <c r="F21" s="64">
        <v>1</v>
      </c>
      <c r="G21" s="61">
        <f t="shared" si="5"/>
        <v>284.20000000000005</v>
      </c>
    </row>
    <row r="22" spans="1:9" x14ac:dyDescent="0.25">
      <c r="A22" s="58" t="s">
        <v>118</v>
      </c>
      <c r="B22" s="59">
        <v>0.06</v>
      </c>
      <c r="C22" s="60">
        <f t="shared" si="3"/>
        <v>36</v>
      </c>
      <c r="D22" s="59">
        <v>1</v>
      </c>
      <c r="E22" s="61">
        <f t="shared" si="4"/>
        <v>3</v>
      </c>
      <c r="F22" s="64">
        <v>1</v>
      </c>
      <c r="G22" s="61">
        <f t="shared" si="5"/>
        <v>108</v>
      </c>
    </row>
    <row r="23" spans="1:9" x14ac:dyDescent="0.25">
      <c r="A23" s="58"/>
      <c r="B23" s="59"/>
      <c r="C23" s="60">
        <f t="shared" si="3"/>
        <v>0</v>
      </c>
      <c r="D23" s="59"/>
      <c r="E23" s="61">
        <f t="shared" si="4"/>
        <v>5</v>
      </c>
      <c r="F23" s="64">
        <v>1</v>
      </c>
      <c r="G23" s="61">
        <f t="shared" si="5"/>
        <v>0</v>
      </c>
    </row>
    <row r="24" spans="1:9" x14ac:dyDescent="0.25">
      <c r="A24" s="58"/>
      <c r="B24" s="59"/>
      <c r="C24" s="60">
        <f t="shared" si="3"/>
        <v>0</v>
      </c>
      <c r="D24" s="59"/>
      <c r="E24" s="61">
        <f t="shared" si="4"/>
        <v>5</v>
      </c>
      <c r="F24" s="64">
        <v>1</v>
      </c>
      <c r="G24" s="61">
        <f t="shared" si="5"/>
        <v>0</v>
      </c>
    </row>
    <row r="25" spans="1:9" x14ac:dyDescent="0.25">
      <c r="A25" s="58"/>
      <c r="B25" s="59"/>
      <c r="C25" s="60">
        <f t="shared" si="3"/>
        <v>0</v>
      </c>
      <c r="D25" s="59"/>
      <c r="E25" s="61">
        <f t="shared" si="4"/>
        <v>5</v>
      </c>
      <c r="F25" s="64">
        <v>1</v>
      </c>
      <c r="G25" s="61">
        <f t="shared" si="5"/>
        <v>0</v>
      </c>
    </row>
    <row r="26" spans="1:9" x14ac:dyDescent="0.25">
      <c r="A26" s="58"/>
      <c r="B26" s="59"/>
      <c r="C26" s="60">
        <f t="shared" si="3"/>
        <v>0</v>
      </c>
      <c r="D26" s="59"/>
      <c r="E26" s="61">
        <f t="shared" si="4"/>
        <v>5</v>
      </c>
      <c r="F26" s="64">
        <v>1</v>
      </c>
      <c r="G26" s="61">
        <f t="shared" si="5"/>
        <v>0</v>
      </c>
    </row>
    <row r="27" spans="1:9" x14ac:dyDescent="0.25">
      <c r="A27" s="58"/>
      <c r="B27" s="59"/>
      <c r="C27" s="60">
        <f t="shared" si="3"/>
        <v>0</v>
      </c>
      <c r="D27" s="59"/>
      <c r="E27" s="61">
        <f t="shared" si="4"/>
        <v>5</v>
      </c>
      <c r="F27" s="64">
        <v>1</v>
      </c>
      <c r="G27" s="61">
        <f t="shared" si="5"/>
        <v>0</v>
      </c>
    </row>
    <row r="28" spans="1:9" x14ac:dyDescent="0.25">
      <c r="A28" s="58"/>
      <c r="B28" s="59"/>
      <c r="C28" s="60">
        <f t="shared" si="3"/>
        <v>0</v>
      </c>
      <c r="D28" s="59"/>
      <c r="E28" s="61">
        <f t="shared" si="4"/>
        <v>5</v>
      </c>
      <c r="F28" s="64">
        <v>1</v>
      </c>
      <c r="G28" s="61">
        <f t="shared" si="5"/>
        <v>0</v>
      </c>
    </row>
  </sheetData>
  <hyperlinks>
    <hyperlink ref="B1" r:id="rId1" display="https://www.worldbank.org/en/publication/worldwide-governance-indicators/interactive-data-access" xr:uid="{CD5B189B-F297-43D1-9386-253B1CABE9ED}"/>
    <hyperlink ref="B2" r:id="rId2" display="https://scrreen.eu/crms-2023/" xr:uid="{18C40B11-72B4-433D-BBDF-87D2490DCC12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D698-AA8D-4E16-9007-05CA2825C401}">
  <dimension ref="A1:D36"/>
  <sheetViews>
    <sheetView workbookViewId="0">
      <selection activeCell="C1" sqref="C1"/>
    </sheetView>
  </sheetViews>
  <sheetFormatPr defaultColWidth="8.7109375" defaultRowHeight="15" x14ac:dyDescent="0.25"/>
  <cols>
    <col min="1" max="1" width="14" style="13" bestFit="1" customWidth="1"/>
    <col min="2" max="2" width="8.7109375" style="13"/>
    <col min="3" max="3" width="11.42578125" style="13" customWidth="1"/>
    <col min="4" max="4" width="20.85546875" style="13" bestFit="1" customWidth="1"/>
    <col min="5" max="16384" width="8.7109375" style="1"/>
  </cols>
  <sheetData>
    <row r="1" spans="1:4" x14ac:dyDescent="0.25">
      <c r="A1" s="78" t="s">
        <v>35</v>
      </c>
      <c r="B1" s="78"/>
      <c r="C1" s="14" t="s">
        <v>72</v>
      </c>
      <c r="D1" s="14" t="s">
        <v>78</v>
      </c>
    </row>
    <row r="2" spans="1:4" x14ac:dyDescent="0.25">
      <c r="A2" s="13" t="s">
        <v>89</v>
      </c>
      <c r="B2" s="13" t="s">
        <v>26</v>
      </c>
      <c r="C2" s="13">
        <v>1.2</v>
      </c>
      <c r="D2" s="15">
        <v>70000000</v>
      </c>
    </row>
    <row r="3" spans="1:4" x14ac:dyDescent="0.25">
      <c r="A3" s="13" t="s">
        <v>57</v>
      </c>
      <c r="B3" s="13" t="s">
        <v>27</v>
      </c>
      <c r="C3" s="13">
        <v>3.8</v>
      </c>
      <c r="D3" s="15">
        <v>4500000</v>
      </c>
    </row>
    <row r="4" spans="1:4" x14ac:dyDescent="0.25">
      <c r="A4" s="13" t="s">
        <v>52</v>
      </c>
      <c r="B4" s="13" t="s">
        <v>0</v>
      </c>
      <c r="C4" s="16">
        <v>4</v>
      </c>
      <c r="D4" s="15">
        <v>150000</v>
      </c>
    </row>
    <row r="5" spans="1:4" x14ac:dyDescent="0.25">
      <c r="A5" s="13" t="s">
        <v>58</v>
      </c>
      <c r="B5" s="13" t="s">
        <v>1</v>
      </c>
      <c r="C5" s="13">
        <v>0.7</v>
      </c>
      <c r="D5" s="15">
        <v>40000000</v>
      </c>
    </row>
    <row r="6" spans="1:4" x14ac:dyDescent="0.25">
      <c r="A6" s="13" t="s">
        <v>59</v>
      </c>
      <c r="B6" s="13" t="s">
        <v>2</v>
      </c>
      <c r="C6" s="13">
        <v>1.7</v>
      </c>
      <c r="D6" s="15">
        <v>220000</v>
      </c>
    </row>
    <row r="7" spans="1:4" x14ac:dyDescent="0.25">
      <c r="A7" s="13" t="s">
        <v>65</v>
      </c>
      <c r="B7" s="13" t="s">
        <v>3</v>
      </c>
      <c r="C7" s="13">
        <v>0.1</v>
      </c>
      <c r="D7" s="15">
        <v>26000000</v>
      </c>
    </row>
    <row r="8" spans="1:4" x14ac:dyDescent="0.25">
      <c r="A8" s="13" t="s">
        <v>36</v>
      </c>
      <c r="B8" s="13" t="s">
        <v>4</v>
      </c>
      <c r="C8" s="13">
        <v>5.6</v>
      </c>
      <c r="D8" s="15">
        <v>2500</v>
      </c>
    </row>
    <row r="9" spans="1:4" x14ac:dyDescent="0.25">
      <c r="A9" s="13" t="s">
        <v>39</v>
      </c>
      <c r="B9" s="13" t="s">
        <v>5</v>
      </c>
      <c r="C9" s="13">
        <v>5.6</v>
      </c>
      <c r="D9" s="15">
        <v>500</v>
      </c>
    </row>
    <row r="10" spans="1:4" x14ac:dyDescent="0.25">
      <c r="A10" s="13" t="s">
        <v>46</v>
      </c>
      <c r="B10" s="13" t="s">
        <v>28</v>
      </c>
      <c r="C10" s="13">
        <v>1.1000000000000001</v>
      </c>
      <c r="D10" s="15">
        <v>7500000</v>
      </c>
    </row>
    <row r="11" spans="1:4" x14ac:dyDescent="0.25">
      <c r="A11" s="13" t="s">
        <v>37</v>
      </c>
      <c r="B11" s="13" t="s">
        <v>6</v>
      </c>
      <c r="C11" s="13">
        <v>3.3</v>
      </c>
      <c r="D11" s="15">
        <v>2000</v>
      </c>
    </row>
    <row r="12" spans="1:4" x14ac:dyDescent="0.25">
      <c r="A12" s="13" t="s">
        <v>47</v>
      </c>
      <c r="B12" s="13" t="s">
        <v>7</v>
      </c>
      <c r="C12" s="13">
        <v>4.8</v>
      </c>
      <c r="D12" s="15">
        <v>420</v>
      </c>
    </row>
    <row r="13" spans="1:4" x14ac:dyDescent="0.25">
      <c r="A13" s="13" t="s">
        <v>55</v>
      </c>
      <c r="B13" s="13" t="s">
        <v>8</v>
      </c>
      <c r="C13" s="13">
        <v>1.8</v>
      </c>
      <c r="D13" s="15">
        <v>170</v>
      </c>
    </row>
    <row r="14" spans="1:4" x14ac:dyDescent="0.25">
      <c r="A14" s="13" t="s">
        <v>68</v>
      </c>
      <c r="B14" s="13" t="s">
        <v>9</v>
      </c>
      <c r="C14" s="16">
        <v>1</v>
      </c>
      <c r="D14" s="15">
        <v>4000000</v>
      </c>
    </row>
    <row r="15" spans="1:4" x14ac:dyDescent="0.25">
      <c r="A15" s="13" t="s">
        <v>60</v>
      </c>
      <c r="B15" s="13" t="s">
        <v>10</v>
      </c>
      <c r="C15" s="13">
        <v>0.6</v>
      </c>
      <c r="D15" s="15">
        <v>850</v>
      </c>
    </row>
    <row r="16" spans="1:4" x14ac:dyDescent="0.25">
      <c r="A16" s="13" t="s">
        <v>54</v>
      </c>
      <c r="B16" s="13" t="s">
        <v>29</v>
      </c>
      <c r="C16" s="13">
        <v>3.9</v>
      </c>
      <c r="D16" s="15">
        <v>7.5</v>
      </c>
    </row>
    <row r="17" spans="1:4" x14ac:dyDescent="0.25">
      <c r="A17" s="13" t="s">
        <v>63</v>
      </c>
      <c r="B17" s="13" t="s">
        <v>11</v>
      </c>
      <c r="C17" s="13">
        <v>3.5</v>
      </c>
      <c r="D17" s="15">
        <v>50000</v>
      </c>
    </row>
    <row r="18" spans="1:4" x14ac:dyDescent="0.25">
      <c r="A18" s="13" t="s">
        <v>49</v>
      </c>
      <c r="B18" s="13" t="s">
        <v>12</v>
      </c>
      <c r="C18" s="13">
        <v>1.9</v>
      </c>
      <c r="D18" s="15">
        <v>900000</v>
      </c>
    </row>
    <row r="19" spans="1:4" x14ac:dyDescent="0.25">
      <c r="A19" s="13" t="s">
        <v>50</v>
      </c>
      <c r="B19" s="13" t="s">
        <v>13</v>
      </c>
      <c r="C19" s="13">
        <v>4.0999999999999996</v>
      </c>
      <c r="D19" s="15">
        <v>1400000</v>
      </c>
    </row>
    <row r="20" spans="1:4" x14ac:dyDescent="0.25">
      <c r="A20" s="13" t="s">
        <v>42</v>
      </c>
      <c r="B20" s="13" t="s">
        <v>14</v>
      </c>
      <c r="C20" s="13">
        <v>1.2</v>
      </c>
      <c r="D20" s="15">
        <v>20000000</v>
      </c>
    </row>
    <row r="21" spans="1:4" x14ac:dyDescent="0.25">
      <c r="A21" s="13" t="s">
        <v>51</v>
      </c>
      <c r="B21" s="13" t="s">
        <v>15</v>
      </c>
      <c r="C21" s="13">
        <v>0.8</v>
      </c>
      <c r="D21" s="15">
        <v>300000</v>
      </c>
    </row>
    <row r="22" spans="1:4" x14ac:dyDescent="0.25">
      <c r="A22" s="13" t="s">
        <v>61</v>
      </c>
      <c r="B22" s="13" t="s">
        <v>16</v>
      </c>
      <c r="C22" s="13">
        <v>3.6</v>
      </c>
      <c r="D22" s="15">
        <v>32000</v>
      </c>
    </row>
    <row r="23" spans="1:4" x14ac:dyDescent="0.25">
      <c r="A23" s="13" t="s">
        <v>62</v>
      </c>
      <c r="B23" s="13" t="s">
        <v>17</v>
      </c>
      <c r="C23" s="13">
        <v>0.5</v>
      </c>
      <c r="D23" s="15">
        <v>3400000</v>
      </c>
    </row>
    <row r="24" spans="1:4" x14ac:dyDescent="0.25">
      <c r="A24" s="13" t="s">
        <v>48</v>
      </c>
      <c r="B24" s="13" t="s">
        <v>18</v>
      </c>
      <c r="C24" s="13">
        <v>4.4000000000000004</v>
      </c>
      <c r="D24" s="15">
        <v>120000</v>
      </c>
    </row>
    <row r="25" spans="1:4" x14ac:dyDescent="0.25">
      <c r="A25" s="13" t="s">
        <v>38</v>
      </c>
      <c r="B25" s="13" t="s">
        <v>19</v>
      </c>
      <c r="C25" s="13">
        <v>1.5</v>
      </c>
      <c r="D25" s="15">
        <v>210</v>
      </c>
    </row>
    <row r="26" spans="1:4" x14ac:dyDescent="0.25">
      <c r="A26" s="13" t="s">
        <v>90</v>
      </c>
      <c r="B26" s="13" t="s">
        <v>30</v>
      </c>
      <c r="C26" s="13">
        <v>3.3</v>
      </c>
      <c r="D26" s="15">
        <v>1300000</v>
      </c>
    </row>
    <row r="27" spans="1:4" x14ac:dyDescent="0.25">
      <c r="A27" s="13" t="s">
        <v>45</v>
      </c>
      <c r="B27" s="13" t="s">
        <v>31</v>
      </c>
      <c r="C27" s="13">
        <v>2.1</v>
      </c>
      <c r="D27" s="15">
        <v>185</v>
      </c>
    </row>
    <row r="28" spans="1:4" x14ac:dyDescent="0.25">
      <c r="A28" s="13" t="s">
        <v>40</v>
      </c>
      <c r="B28" s="13" t="s">
        <v>20</v>
      </c>
      <c r="C28" s="13">
        <v>3.2</v>
      </c>
      <c r="D28" s="15">
        <v>9000</v>
      </c>
    </row>
    <row r="29" spans="1:4" x14ac:dyDescent="0.25">
      <c r="A29" s="13" t="s">
        <v>73</v>
      </c>
      <c r="B29" s="13" t="s">
        <v>32</v>
      </c>
      <c r="C29" s="13">
        <v>1.4</v>
      </c>
      <c r="D29" s="15">
        <v>9500000</v>
      </c>
    </row>
    <row r="30" spans="1:4" x14ac:dyDescent="0.25">
      <c r="A30" s="13" t="s">
        <v>53</v>
      </c>
      <c r="B30" s="13" t="s">
        <v>21</v>
      </c>
      <c r="C30" s="13">
        <v>0.8</v>
      </c>
      <c r="D30" s="15">
        <v>27000</v>
      </c>
    </row>
    <row r="31" spans="1:4" x14ac:dyDescent="0.25">
      <c r="A31" s="13" t="s">
        <v>41</v>
      </c>
      <c r="B31" s="13" t="s">
        <v>22</v>
      </c>
      <c r="C31" s="13">
        <v>1.3</v>
      </c>
      <c r="D31" s="15">
        <v>2100</v>
      </c>
    </row>
    <row r="32" spans="1:4" x14ac:dyDescent="0.25">
      <c r="A32" s="13" t="s">
        <v>44</v>
      </c>
      <c r="B32" s="13" t="s">
        <v>23</v>
      </c>
      <c r="C32" s="13">
        <v>4.9000000000000004</v>
      </c>
      <c r="D32" s="15">
        <v>500</v>
      </c>
    </row>
    <row r="33" spans="1:4" x14ac:dyDescent="0.25">
      <c r="A33" s="13" t="s">
        <v>64</v>
      </c>
      <c r="B33" s="13" t="s">
        <v>33</v>
      </c>
      <c r="C33" s="13">
        <v>0.5</v>
      </c>
      <c r="D33" s="15">
        <v>220000</v>
      </c>
    </row>
    <row r="34" spans="1:4" x14ac:dyDescent="0.25">
      <c r="A34" s="13" t="s">
        <v>43</v>
      </c>
      <c r="B34" s="13" t="s">
        <v>24</v>
      </c>
      <c r="C34" s="13">
        <v>2.2999999999999998</v>
      </c>
      <c r="D34" s="15">
        <v>110000</v>
      </c>
    </row>
    <row r="35" spans="1:4" x14ac:dyDescent="0.25">
      <c r="A35" s="13" t="s">
        <v>66</v>
      </c>
      <c r="B35" s="13" t="s">
        <v>25</v>
      </c>
      <c r="C35" s="13">
        <v>3.5</v>
      </c>
      <c r="D35" s="15">
        <v>11000</v>
      </c>
    </row>
    <row r="36" spans="1:4" x14ac:dyDescent="0.25">
      <c r="A36" s="13" t="s">
        <v>56</v>
      </c>
      <c r="B36" s="13" t="s">
        <v>34</v>
      </c>
      <c r="C36" s="13">
        <v>0.8</v>
      </c>
      <c r="D36" s="15">
        <v>1400000</v>
      </c>
    </row>
  </sheetData>
  <sortState xmlns:xlrd2="http://schemas.microsoft.com/office/spreadsheetml/2017/richdata2" ref="G2:H57">
    <sortCondition ref="G2:G57"/>
  </sortState>
  <mergeCells count="1">
    <mergeCell ref="A1:B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05E5-15F7-4FF0-9FBA-B1DE3313F511}">
  <dimension ref="A1:I30"/>
  <sheetViews>
    <sheetView workbookViewId="0">
      <selection activeCell="L12" sqref="L12"/>
    </sheetView>
  </sheetViews>
  <sheetFormatPr defaultColWidth="8.7109375" defaultRowHeight="15" x14ac:dyDescent="0.25"/>
  <cols>
    <col min="1" max="1" width="28.85546875" style="2" customWidth="1"/>
    <col min="2" max="2" width="13.85546875" style="2" customWidth="1"/>
    <col min="3" max="3" width="12" style="2" customWidth="1"/>
    <col min="4" max="4" width="12.7109375" style="35" customWidth="1"/>
    <col min="5" max="7" width="12.7109375" style="2" customWidth="1"/>
    <col min="8" max="8" width="20" style="2" bestFit="1" customWidth="1"/>
    <col min="9" max="9" width="12.7109375" style="2" customWidth="1"/>
    <col min="10" max="10" width="8.7109375" style="2"/>
    <col min="11" max="11" width="11.7109375" style="2" bestFit="1" customWidth="1"/>
    <col min="12" max="16384" width="8.7109375" style="2"/>
  </cols>
  <sheetData>
    <row r="1" spans="1:9" x14ac:dyDescent="0.25">
      <c r="A1" s="83" t="s">
        <v>67</v>
      </c>
      <c r="B1" s="83" t="s">
        <v>80</v>
      </c>
      <c r="C1" s="83"/>
      <c r="D1" s="34" t="s">
        <v>79</v>
      </c>
      <c r="E1" s="10" t="s">
        <v>81</v>
      </c>
      <c r="F1" s="10" t="s">
        <v>91</v>
      </c>
      <c r="G1" s="10" t="s">
        <v>82</v>
      </c>
      <c r="H1" s="10" t="s">
        <v>92</v>
      </c>
      <c r="I1" s="10" t="s">
        <v>83</v>
      </c>
    </row>
    <row r="2" spans="1:9" x14ac:dyDescent="0.25">
      <c r="A2" s="83"/>
      <c r="B2" s="3"/>
      <c r="C2" s="3" t="s">
        <v>69</v>
      </c>
      <c r="D2" s="34" t="s">
        <v>122</v>
      </c>
    </row>
    <row r="3" spans="1:9" x14ac:dyDescent="0.25">
      <c r="A3" s="82" t="s">
        <v>70</v>
      </c>
      <c r="B3" s="18" t="s">
        <v>3</v>
      </c>
      <c r="C3" s="40">
        <v>31.258424999999999</v>
      </c>
      <c r="D3" s="41">
        <f>C3</f>
        <v>31.258424999999999</v>
      </c>
      <c r="E3" s="79">
        <f>SUM(D3:D4)</f>
        <v>46.957679999999996</v>
      </c>
      <c r="F3" s="37" cm="1">
        <f t="array" ref="F3">$D3*SUM(IF('Raw Materials'!$B$2:$B$36=Cars!$B3,'Raw Materials'!$C$2:$C$36))</f>
        <v>3.1258425000000001</v>
      </c>
      <c r="G3" s="79">
        <f>SUM(F3:F4)</f>
        <v>21.964948499999998</v>
      </c>
      <c r="H3" s="19" cm="1">
        <f t="array" ref="H3">$D3*SUM(IF('Raw Materials'!$B$2:$B$36=$B3,'Raw Materials'!$C$2:$C$36))/SUM(IF('Raw Materials'!$B$2:$B$36=Cars!$B3,'Raw Materials'!$D$2:$D$36))</f>
        <v>1.2022471153846153E-7</v>
      </c>
      <c r="I3" s="79">
        <f>SUM(H3:H4)</f>
        <v>1.0621800115384614E-6</v>
      </c>
    </row>
    <row r="4" spans="1:9" x14ac:dyDescent="0.25">
      <c r="A4" s="84"/>
      <c r="B4" s="17" t="s">
        <v>14</v>
      </c>
      <c r="C4" s="42">
        <v>15.699254999999999</v>
      </c>
      <c r="D4" s="43">
        <f>C4</f>
        <v>15.699254999999999</v>
      </c>
      <c r="E4" s="80"/>
      <c r="F4" s="45" cm="1">
        <f t="array" ref="F4">$D4*SUM(IF('Raw Materials'!$B$2:$B$36=Cars!$B4,'Raw Materials'!$C$2:$C$36))</f>
        <v>18.839105999999997</v>
      </c>
      <c r="G4" s="80"/>
      <c r="H4" s="20" cm="1">
        <f t="array" ref="H4">$D4*SUM(IF('Raw Materials'!$B$2:$B$36=$B4,'Raw Materials'!$C$2:$C$36))/SUM(IF('Raw Materials'!$B$2:$B$36=Cars!$B4,'Raw Materials'!$D$2:$D$36))</f>
        <v>9.4195529999999989E-7</v>
      </c>
      <c r="I4" s="80"/>
    </row>
    <row r="5" spans="1:9" x14ac:dyDescent="0.25">
      <c r="A5" s="82" t="s">
        <v>71</v>
      </c>
      <c r="B5" s="18" t="s">
        <v>0</v>
      </c>
      <c r="C5" s="40">
        <v>1.65E-4</v>
      </c>
      <c r="D5" s="41">
        <f t="shared" ref="D5:D30" si="0">C5</f>
        <v>1.65E-4</v>
      </c>
      <c r="E5" s="79">
        <f>SUM(D5:D30)</f>
        <v>308.54257499999994</v>
      </c>
      <c r="F5" s="37" cm="1">
        <f t="array" ref="F5">$D5*SUM(IF('Raw Materials'!$B$2:$B$36=Cars!$B5,'Raw Materials'!$C$2:$C$36))</f>
        <v>6.6E-4</v>
      </c>
      <c r="G5" s="79">
        <f>SUM(F5:F30)</f>
        <v>247.72664400000008</v>
      </c>
      <c r="H5" s="19" cm="1">
        <f t="array" ref="H5">$D5*SUM(IF('Raw Materials'!$B$2:$B$36=$B5,'Raw Materials'!$C$2:$C$36))/SUM(IF('Raw Materials'!$B$2:$B$36=Cars!$B5,'Raw Materials'!$D$2:$D$36))</f>
        <v>4.3999999999999997E-9</v>
      </c>
      <c r="I5" s="79">
        <f>SUM(H5:H30)</f>
        <v>1.2765042970304783E-3</v>
      </c>
    </row>
    <row r="6" spans="1:9" x14ac:dyDescent="0.25">
      <c r="A6" s="83"/>
      <c r="B6" s="4" t="s">
        <v>1</v>
      </c>
      <c r="C6" s="11">
        <v>13.891019999999999</v>
      </c>
      <c r="D6" s="44">
        <f t="shared" si="0"/>
        <v>13.891019999999999</v>
      </c>
      <c r="E6" s="81"/>
      <c r="F6" s="46" cm="1">
        <f t="array" ref="F6">$D6*SUM(IF('Raw Materials'!$B$2:$B$36=Cars!$B6,'Raw Materials'!$C$2:$C$36))</f>
        <v>9.7237139999999993</v>
      </c>
      <c r="G6" s="81"/>
      <c r="H6" s="47" cm="1">
        <f t="array" ref="H6">$D6*SUM(IF('Raw Materials'!$B$2:$B$36=$B6,'Raw Materials'!$C$2:$C$36))/SUM(IF('Raw Materials'!$B$2:$B$36=Cars!$B6,'Raw Materials'!$D$2:$D$36))</f>
        <v>2.4309285E-7</v>
      </c>
      <c r="I6" s="81"/>
    </row>
    <row r="7" spans="1:9" x14ac:dyDescent="0.25">
      <c r="A7" s="83"/>
      <c r="B7" s="4" t="s">
        <v>2</v>
      </c>
      <c r="C7" s="11">
        <v>18.642854999999997</v>
      </c>
      <c r="D7" s="44">
        <f t="shared" si="0"/>
        <v>18.642854999999997</v>
      </c>
      <c r="E7" s="81"/>
      <c r="F7" s="46" cm="1">
        <f t="array" ref="F7">$D7*SUM(IF('Raw Materials'!$B$2:$B$36=Cars!$B7,'Raw Materials'!$C$2:$C$36))</f>
        <v>31.692853499999995</v>
      </c>
      <c r="G7" s="81"/>
      <c r="H7" s="47" cm="1">
        <f t="array" ref="H7">$D7*SUM(IF('Raw Materials'!$B$2:$B$36=$B7,'Raw Materials'!$C$2:$C$36))/SUM(IF('Raw Materials'!$B$2:$B$36=Cars!$B7,'Raw Materials'!$D$2:$D$36))</f>
        <v>1.4405842499999998E-4</v>
      </c>
      <c r="I7" s="81"/>
    </row>
    <row r="8" spans="1:9" x14ac:dyDescent="0.25">
      <c r="A8" s="83"/>
      <c r="B8" s="4" t="s">
        <v>3</v>
      </c>
      <c r="C8" s="11">
        <v>74.571584999999999</v>
      </c>
      <c r="D8" s="44">
        <f t="shared" si="0"/>
        <v>74.571584999999999</v>
      </c>
      <c r="E8" s="81"/>
      <c r="F8" s="46" cm="1">
        <f t="array" ref="F8">$D8*SUM(IF('Raw Materials'!$B$2:$B$36=Cars!$B8,'Raw Materials'!$C$2:$C$36))</f>
        <v>7.4571585000000002</v>
      </c>
      <c r="G8" s="81"/>
      <c r="H8" s="47" cm="1">
        <f t="array" ref="H8">$D8*SUM(IF('Raw Materials'!$B$2:$B$36=$B8,'Raw Materials'!$C$2:$C$36))/SUM(IF('Raw Materials'!$B$2:$B$36=Cars!$B8,'Raw Materials'!$D$2:$D$36))</f>
        <v>2.8681378846153845E-7</v>
      </c>
      <c r="I8" s="81"/>
    </row>
    <row r="9" spans="1:9" x14ac:dyDescent="0.25">
      <c r="A9" s="83"/>
      <c r="B9" s="4" t="s">
        <v>4</v>
      </c>
      <c r="C9" s="11">
        <v>0.22571999999999998</v>
      </c>
      <c r="D9" s="44">
        <f t="shared" si="0"/>
        <v>0.22571999999999998</v>
      </c>
      <c r="E9" s="81"/>
      <c r="F9" s="46" cm="1">
        <f t="array" ref="F9">$D9*SUM(IF('Raw Materials'!$B$2:$B$36=Cars!$B9,'Raw Materials'!$C$2:$C$36))</f>
        <v>1.2640319999999998</v>
      </c>
      <c r="G9" s="81"/>
      <c r="H9" s="47" cm="1">
        <f t="array" ref="H9">$D9*SUM(IF('Raw Materials'!$B$2:$B$36=$B9,'Raw Materials'!$C$2:$C$36))/SUM(IF('Raw Materials'!$B$2:$B$36=Cars!$B9,'Raw Materials'!$D$2:$D$36))</f>
        <v>5.0561279999999996E-4</v>
      </c>
      <c r="I9" s="81"/>
    </row>
    <row r="10" spans="1:9" x14ac:dyDescent="0.25">
      <c r="A10" s="83"/>
      <c r="B10" s="4" t="s">
        <v>5</v>
      </c>
      <c r="C10" s="11">
        <v>3.3E-4</v>
      </c>
      <c r="D10" s="44">
        <f t="shared" si="0"/>
        <v>3.3E-4</v>
      </c>
      <c r="E10" s="81"/>
      <c r="F10" s="46" cm="1">
        <f t="array" ref="F10">$D10*SUM(IF('Raw Materials'!$B$2:$B$36=Cars!$B10,'Raw Materials'!$C$2:$C$36))</f>
        <v>1.8479999999999998E-3</v>
      </c>
      <c r="G10" s="81"/>
      <c r="H10" s="47" cm="1">
        <f t="array" ref="H10">$D10*SUM(IF('Raw Materials'!$B$2:$B$36=$B10,'Raw Materials'!$C$2:$C$36))/SUM(IF('Raw Materials'!$B$2:$B$36=Cars!$B10,'Raw Materials'!$D$2:$D$36))</f>
        <v>3.6959999999999994E-6</v>
      </c>
      <c r="I10" s="81"/>
    </row>
    <row r="11" spans="1:9" x14ac:dyDescent="0.25">
      <c r="A11" s="83"/>
      <c r="B11" s="4" t="s">
        <v>6</v>
      </c>
      <c r="C11" s="11">
        <v>1.65E-4</v>
      </c>
      <c r="D11" s="44">
        <f t="shared" si="0"/>
        <v>1.65E-4</v>
      </c>
      <c r="E11" s="81"/>
      <c r="F11" s="46" cm="1">
        <f t="array" ref="F11">$D11*SUM(IF('Raw Materials'!$B$2:$B$36=Cars!$B11,'Raw Materials'!$C$2:$C$36))</f>
        <v>5.4449999999999995E-4</v>
      </c>
      <c r="G11" s="81"/>
      <c r="H11" s="47" cm="1">
        <f t="array" ref="H11">$D11*SUM(IF('Raw Materials'!$B$2:$B$36=$B11,'Raw Materials'!$C$2:$C$36))/SUM(IF('Raw Materials'!$B$2:$B$36=Cars!$B11,'Raw Materials'!$D$2:$D$36))</f>
        <v>2.7224999999999997E-7</v>
      </c>
      <c r="I11" s="81"/>
    </row>
    <row r="12" spans="1:9" x14ac:dyDescent="0.25">
      <c r="A12" s="83"/>
      <c r="B12" s="4" t="s">
        <v>7</v>
      </c>
      <c r="C12" s="11">
        <v>1.32E-3</v>
      </c>
      <c r="D12" s="44">
        <f t="shared" si="0"/>
        <v>1.32E-3</v>
      </c>
      <c r="E12" s="81"/>
      <c r="F12" s="46" cm="1">
        <f t="array" ref="F12">$D12*SUM(IF('Raw Materials'!$B$2:$B$36=Cars!$B12,'Raw Materials'!$C$2:$C$36))</f>
        <v>6.3359999999999996E-3</v>
      </c>
      <c r="G12" s="81"/>
      <c r="H12" s="47" cm="1">
        <f t="array" ref="H12">$D12*SUM(IF('Raw Materials'!$B$2:$B$36=$B12,'Raw Materials'!$C$2:$C$36))/SUM(IF('Raw Materials'!$B$2:$B$36=Cars!$B12,'Raw Materials'!$D$2:$D$36))</f>
        <v>1.5085714285714285E-5</v>
      </c>
      <c r="I12" s="81"/>
    </row>
    <row r="13" spans="1:9" x14ac:dyDescent="0.25">
      <c r="A13" s="83"/>
      <c r="B13" s="4" t="s">
        <v>8</v>
      </c>
      <c r="C13" s="11">
        <v>1.65E-4</v>
      </c>
      <c r="D13" s="44">
        <f t="shared" si="0"/>
        <v>1.65E-4</v>
      </c>
      <c r="E13" s="81"/>
      <c r="F13" s="46" cm="1">
        <f t="array" ref="F13">$D13*SUM(IF('Raw Materials'!$B$2:$B$36=Cars!$B13,'Raw Materials'!$C$2:$C$36))</f>
        <v>2.9700000000000001E-4</v>
      </c>
      <c r="G13" s="81"/>
      <c r="H13" s="47" cm="1">
        <f t="array" ref="H13">$D13*SUM(IF('Raw Materials'!$B$2:$B$36=$B13,'Raw Materials'!$C$2:$C$36))/SUM(IF('Raw Materials'!$B$2:$B$36=Cars!$B13,'Raw Materials'!$D$2:$D$36))</f>
        <v>1.7470588235294119E-6</v>
      </c>
      <c r="I13" s="81"/>
    </row>
    <row r="14" spans="1:9" x14ac:dyDescent="0.25">
      <c r="A14" s="83"/>
      <c r="B14" s="4" t="s">
        <v>9</v>
      </c>
      <c r="C14" s="11">
        <v>92.934104999999988</v>
      </c>
      <c r="D14" s="44">
        <f t="shared" si="0"/>
        <v>92.934104999999988</v>
      </c>
      <c r="E14" s="81"/>
      <c r="F14" s="46" cm="1">
        <f t="array" ref="F14">$D14*SUM(IF('Raw Materials'!$B$2:$B$36=Cars!$B14,'Raw Materials'!$C$2:$C$36))</f>
        <v>92.934104999999988</v>
      </c>
      <c r="G14" s="81"/>
      <c r="H14" s="47" cm="1">
        <f t="array" ref="H14">$D14*SUM(IF('Raw Materials'!$B$2:$B$36=$B14,'Raw Materials'!$C$2:$C$36))/SUM(IF('Raw Materials'!$B$2:$B$36=Cars!$B14,'Raw Materials'!$D$2:$D$36))</f>
        <v>2.3233526249999997E-5</v>
      </c>
      <c r="I14" s="81"/>
    </row>
    <row r="15" spans="1:9" x14ac:dyDescent="0.25">
      <c r="A15" s="83"/>
      <c r="B15" s="4" t="s">
        <v>10</v>
      </c>
      <c r="C15" s="11">
        <v>3.3E-4</v>
      </c>
      <c r="D15" s="44">
        <f t="shared" si="0"/>
        <v>3.3E-4</v>
      </c>
      <c r="E15" s="81"/>
      <c r="F15" s="46" cm="1">
        <f t="array" ref="F15">$D15*SUM(IF('Raw Materials'!$B$2:$B$36=Cars!$B15,'Raw Materials'!$C$2:$C$36))</f>
        <v>1.9799999999999999E-4</v>
      </c>
      <c r="G15" s="81"/>
      <c r="H15" s="47" cm="1">
        <f t="array" ref="H15">$D15*SUM(IF('Raw Materials'!$B$2:$B$36=$B15,'Raw Materials'!$C$2:$C$36))/SUM(IF('Raw Materials'!$B$2:$B$36=Cars!$B15,'Raw Materials'!$D$2:$D$36))</f>
        <v>2.3294117647058821E-7</v>
      </c>
      <c r="I15" s="81"/>
    </row>
    <row r="16" spans="1:9" x14ac:dyDescent="0.25">
      <c r="A16" s="83"/>
      <c r="B16" s="4" t="s">
        <v>11</v>
      </c>
      <c r="C16" s="11">
        <v>9.7349999999999989E-3</v>
      </c>
      <c r="D16" s="44">
        <f t="shared" si="0"/>
        <v>9.7349999999999989E-3</v>
      </c>
      <c r="E16" s="81"/>
      <c r="F16" s="46" cm="1">
        <f t="array" ref="F16">$D16*SUM(IF('Raw Materials'!$B$2:$B$36=Cars!$B16,'Raw Materials'!$C$2:$C$36))</f>
        <v>3.4072499999999999E-2</v>
      </c>
      <c r="G16" s="81"/>
      <c r="H16" s="47" cm="1">
        <f t="array" ref="H16">$D16*SUM(IF('Raw Materials'!$B$2:$B$36=$B16,'Raw Materials'!$C$2:$C$36))/SUM(IF('Raw Materials'!$B$2:$B$36=Cars!$B16,'Raw Materials'!$D$2:$D$36))</f>
        <v>6.8144999999999995E-7</v>
      </c>
      <c r="I16" s="81"/>
    </row>
    <row r="17" spans="1:9" x14ac:dyDescent="0.25">
      <c r="A17" s="83"/>
      <c r="B17" s="4" t="s">
        <v>12</v>
      </c>
      <c r="C17" s="11">
        <v>12.47532</v>
      </c>
      <c r="D17" s="44">
        <f t="shared" si="0"/>
        <v>12.47532</v>
      </c>
      <c r="E17" s="81"/>
      <c r="F17" s="46" cm="1">
        <f t="array" ref="F17">$D17*SUM(IF('Raw Materials'!$B$2:$B$36=Cars!$B17,'Raw Materials'!$C$2:$C$36))</f>
        <v>23.703108</v>
      </c>
      <c r="G17" s="81"/>
      <c r="H17" s="47" cm="1">
        <f t="array" ref="H17">$D17*SUM(IF('Raw Materials'!$B$2:$B$36=$B17,'Raw Materials'!$C$2:$C$36))/SUM(IF('Raw Materials'!$B$2:$B$36=Cars!$B17,'Raw Materials'!$D$2:$D$36))</f>
        <v>2.6336786666666666E-5</v>
      </c>
      <c r="I17" s="81"/>
    </row>
    <row r="18" spans="1:9" x14ac:dyDescent="0.25">
      <c r="A18" s="83"/>
      <c r="B18" s="4" t="s">
        <v>13</v>
      </c>
      <c r="C18" s="11">
        <v>0.28033499999999995</v>
      </c>
      <c r="D18" s="44">
        <f t="shared" si="0"/>
        <v>0.28033499999999995</v>
      </c>
      <c r="E18" s="81"/>
      <c r="F18" s="46" cm="1">
        <f t="array" ref="F18">$D18*SUM(IF('Raw Materials'!$B$2:$B$36=Cars!$B18,'Raw Materials'!$C$2:$C$36))</f>
        <v>1.1493734999999996</v>
      </c>
      <c r="G18" s="81"/>
      <c r="H18" s="47" cm="1">
        <f t="array" ref="H18">$D18*SUM(IF('Raw Materials'!$B$2:$B$36=$B18,'Raw Materials'!$C$2:$C$36))/SUM(IF('Raw Materials'!$B$2:$B$36=Cars!$B18,'Raw Materials'!$D$2:$D$36))</f>
        <v>8.2098107142857115E-7</v>
      </c>
      <c r="I18" s="81"/>
    </row>
    <row r="19" spans="1:9" x14ac:dyDescent="0.25">
      <c r="A19" s="83"/>
      <c r="B19" s="4" t="s">
        <v>14</v>
      </c>
      <c r="C19" s="11">
        <v>34.342109999999998</v>
      </c>
      <c r="D19" s="44">
        <f t="shared" si="0"/>
        <v>34.342109999999998</v>
      </c>
      <c r="E19" s="81"/>
      <c r="F19" s="46" cm="1">
        <f t="array" ref="F19">$D19*SUM(IF('Raw Materials'!$B$2:$B$36=Cars!$B19,'Raw Materials'!$C$2:$C$36))</f>
        <v>41.210531999999994</v>
      </c>
      <c r="G19" s="81"/>
      <c r="H19" s="47" cm="1">
        <f t="array" ref="H19">$D19*SUM(IF('Raw Materials'!$B$2:$B$36=$B19,'Raw Materials'!$C$2:$C$36))/SUM(IF('Raw Materials'!$B$2:$B$36=Cars!$B19,'Raw Materials'!$D$2:$D$36))</f>
        <v>2.0605265999999995E-6</v>
      </c>
      <c r="I19" s="81"/>
    </row>
    <row r="20" spans="1:9" x14ac:dyDescent="0.25">
      <c r="A20" s="83"/>
      <c r="B20" s="4" t="s">
        <v>15</v>
      </c>
      <c r="C20" s="11">
        <v>2.5721849999999997</v>
      </c>
      <c r="D20" s="44">
        <f t="shared" si="0"/>
        <v>2.5721849999999997</v>
      </c>
      <c r="E20" s="81"/>
      <c r="F20" s="46" cm="1">
        <f t="array" ref="F20">$D20*SUM(IF('Raw Materials'!$B$2:$B$36=Cars!$B20,'Raw Materials'!$C$2:$C$36))</f>
        <v>2.0577479999999997</v>
      </c>
      <c r="G20" s="81"/>
      <c r="H20" s="47" cm="1">
        <f t="array" ref="H20">$D20*SUM(IF('Raw Materials'!$B$2:$B$36=$B20,'Raw Materials'!$C$2:$C$36))/SUM(IF('Raw Materials'!$B$2:$B$36=Cars!$B20,'Raw Materials'!$D$2:$D$36))</f>
        <v>6.8591599999999992E-6</v>
      </c>
      <c r="I20" s="81"/>
    </row>
    <row r="21" spans="1:9" x14ac:dyDescent="0.25">
      <c r="A21" s="83"/>
      <c r="B21" s="4" t="s">
        <v>16</v>
      </c>
      <c r="C21" s="11">
        <v>0.77368499999999996</v>
      </c>
      <c r="D21" s="44">
        <f t="shared" si="0"/>
        <v>0.77368499999999996</v>
      </c>
      <c r="E21" s="81"/>
      <c r="F21" s="46" cm="1">
        <f t="array" ref="F21">$D21*SUM(IF('Raw Materials'!$B$2:$B$36=Cars!$B21,'Raw Materials'!$C$2:$C$36))</f>
        <v>2.785266</v>
      </c>
      <c r="G21" s="81"/>
      <c r="H21" s="47" cm="1">
        <f t="array" ref="H21">$D21*SUM(IF('Raw Materials'!$B$2:$B$36=$B21,'Raw Materials'!$C$2:$C$36))/SUM(IF('Raw Materials'!$B$2:$B$36=Cars!$B21,'Raw Materials'!$D$2:$D$36))</f>
        <v>8.7039562500000007E-5</v>
      </c>
      <c r="I21" s="81"/>
    </row>
    <row r="22" spans="1:9" x14ac:dyDescent="0.25">
      <c r="A22" s="83"/>
      <c r="B22" s="4" t="s">
        <v>17</v>
      </c>
      <c r="C22" s="11">
        <v>55.928564999999999</v>
      </c>
      <c r="D22" s="44">
        <f t="shared" si="0"/>
        <v>55.928564999999999</v>
      </c>
      <c r="E22" s="81"/>
      <c r="F22" s="46" cm="1">
        <f t="array" ref="F22">$D22*SUM(IF('Raw Materials'!$B$2:$B$36=Cars!$B22,'Raw Materials'!$C$2:$C$36))</f>
        <v>27.964282499999999</v>
      </c>
      <c r="G22" s="81"/>
      <c r="H22" s="47" cm="1">
        <f t="array" ref="H22">$D22*SUM(IF('Raw Materials'!$B$2:$B$36=$B22,'Raw Materials'!$C$2:$C$36))/SUM(IF('Raw Materials'!$B$2:$B$36=Cars!$B22,'Raw Materials'!$D$2:$D$36))</f>
        <v>8.2247889705882356E-6</v>
      </c>
      <c r="I22" s="81"/>
    </row>
    <row r="23" spans="1:9" x14ac:dyDescent="0.25">
      <c r="A23" s="83"/>
      <c r="B23" s="4" t="s">
        <v>18</v>
      </c>
      <c r="C23" s="11">
        <v>0.59713499999999997</v>
      </c>
      <c r="D23" s="44">
        <f t="shared" si="0"/>
        <v>0.59713499999999997</v>
      </c>
      <c r="E23" s="81"/>
      <c r="F23" s="46" cm="1">
        <f t="array" ref="F23">$D23*SUM(IF('Raw Materials'!$B$2:$B$36=Cars!$B23,'Raw Materials'!$C$2:$C$36))</f>
        <v>2.6273940000000002</v>
      </c>
      <c r="G23" s="81"/>
      <c r="H23" s="47" cm="1">
        <f t="array" ref="H23">$D23*SUM(IF('Raw Materials'!$B$2:$B$36=$B23,'Raw Materials'!$C$2:$C$36))/SUM(IF('Raw Materials'!$B$2:$B$36=Cars!$B23,'Raw Materials'!$D$2:$D$36))</f>
        <v>2.1894950000000003E-5</v>
      </c>
      <c r="I23" s="81"/>
    </row>
    <row r="24" spans="1:9" x14ac:dyDescent="0.25">
      <c r="A24" s="83"/>
      <c r="B24" s="4" t="s">
        <v>19</v>
      </c>
      <c r="C24" s="11">
        <v>1.65E-4</v>
      </c>
      <c r="D24" s="44">
        <f t="shared" si="0"/>
        <v>1.65E-4</v>
      </c>
      <c r="E24" s="81"/>
      <c r="F24" s="46" cm="1">
        <f t="array" ref="F24">$D24*SUM(IF('Raw Materials'!$B$2:$B$36=Cars!$B24,'Raw Materials'!$C$2:$C$36))</f>
        <v>2.475E-4</v>
      </c>
      <c r="G24" s="81"/>
      <c r="H24" s="47" cm="1">
        <f t="array" ref="H24">$D24*SUM(IF('Raw Materials'!$B$2:$B$36=$B24,'Raw Materials'!$C$2:$C$36))/SUM(IF('Raw Materials'!$B$2:$B$36=Cars!$B24,'Raw Materials'!$D$2:$D$36))</f>
        <v>1.1785714285714285E-6</v>
      </c>
      <c r="I24" s="81"/>
    </row>
    <row r="25" spans="1:9" x14ac:dyDescent="0.25">
      <c r="A25" s="83"/>
      <c r="B25" s="4" t="s">
        <v>20</v>
      </c>
      <c r="C25" s="11">
        <v>0.10790999999999999</v>
      </c>
      <c r="D25" s="44">
        <f t="shared" si="0"/>
        <v>0.10790999999999999</v>
      </c>
      <c r="E25" s="81"/>
      <c r="F25" s="46" cm="1">
        <f t="array" ref="F25">$D25*SUM(IF('Raw Materials'!$B$2:$B$36=Cars!$B25,'Raw Materials'!$C$2:$C$36))</f>
        <v>0.34531200000000001</v>
      </c>
      <c r="G25" s="81"/>
      <c r="H25" s="47" cm="1">
        <f t="array" ref="H25">$D25*SUM(IF('Raw Materials'!$B$2:$B$36=$B25,'Raw Materials'!$C$2:$C$36))/SUM(IF('Raw Materials'!$B$2:$B$36=Cars!$B25,'Raw Materials'!$D$2:$D$36))</f>
        <v>3.8368000000000003E-5</v>
      </c>
      <c r="I25" s="81"/>
    </row>
    <row r="26" spans="1:9" x14ac:dyDescent="0.25">
      <c r="A26" s="83"/>
      <c r="B26" s="4" t="s">
        <v>21</v>
      </c>
      <c r="C26" s="11">
        <v>3.2174999999999995E-2</v>
      </c>
      <c r="D26" s="44">
        <f t="shared" si="0"/>
        <v>3.2174999999999995E-2</v>
      </c>
      <c r="E26" s="81"/>
      <c r="F26" s="46" cm="1">
        <f t="array" ref="F26">$D26*SUM(IF('Raw Materials'!$B$2:$B$36=Cars!$B26,'Raw Materials'!$C$2:$C$36))</f>
        <v>2.5739999999999999E-2</v>
      </c>
      <c r="G26" s="81"/>
      <c r="H26" s="47" cm="1">
        <f t="array" ref="H26">$D26*SUM(IF('Raw Materials'!$B$2:$B$36=$B26,'Raw Materials'!$C$2:$C$36))/SUM(IF('Raw Materials'!$B$2:$B$36=Cars!$B26,'Raw Materials'!$D$2:$D$36))</f>
        <v>9.5333333333333335E-7</v>
      </c>
      <c r="I26" s="81"/>
    </row>
    <row r="27" spans="1:9" x14ac:dyDescent="0.25">
      <c r="A27" s="83"/>
      <c r="B27" s="4" t="s">
        <v>22</v>
      </c>
      <c r="C27" s="11">
        <v>1.1220000000000001E-2</v>
      </c>
      <c r="D27" s="44">
        <f t="shared" si="0"/>
        <v>1.1220000000000001E-2</v>
      </c>
      <c r="E27" s="81"/>
      <c r="F27" s="46" cm="1">
        <f t="array" ref="F27">$D27*SUM(IF('Raw Materials'!$B$2:$B$36=Cars!$B27,'Raw Materials'!$C$2:$C$36))</f>
        <v>1.4586000000000002E-2</v>
      </c>
      <c r="G27" s="81"/>
      <c r="H27" s="47" cm="1">
        <f t="array" ref="H27">$D27*SUM(IF('Raw Materials'!$B$2:$B$36=$B27,'Raw Materials'!$C$2:$C$36))/SUM(IF('Raw Materials'!$B$2:$B$36=Cars!$B27,'Raw Materials'!$D$2:$D$36))</f>
        <v>6.9457142857142863E-6</v>
      </c>
      <c r="I27" s="81"/>
    </row>
    <row r="28" spans="1:9" x14ac:dyDescent="0.25">
      <c r="A28" s="83"/>
      <c r="B28" s="4" t="s">
        <v>23</v>
      </c>
      <c r="C28" s="11">
        <v>3.6464999999999997E-2</v>
      </c>
      <c r="D28" s="44">
        <f t="shared" si="0"/>
        <v>3.6464999999999997E-2</v>
      </c>
      <c r="E28" s="81"/>
      <c r="F28" s="46" cm="1">
        <f t="array" ref="F28">$D28*SUM(IF('Raw Materials'!$B$2:$B$36=Cars!$B28,'Raw Materials'!$C$2:$C$36))</f>
        <v>0.17867849999999999</v>
      </c>
      <c r="G28" s="81"/>
      <c r="H28" s="47" cm="1">
        <f t="array" ref="H28">$D28*SUM(IF('Raw Materials'!$B$2:$B$36=$B28,'Raw Materials'!$C$2:$C$36))/SUM(IF('Raw Materials'!$B$2:$B$36=Cars!$B28,'Raw Materials'!$D$2:$D$36))</f>
        <v>3.5735699999999999E-4</v>
      </c>
      <c r="I28" s="81"/>
    </row>
    <row r="29" spans="1:9" x14ac:dyDescent="0.25">
      <c r="A29" s="83"/>
      <c r="B29" s="4" t="s">
        <v>24</v>
      </c>
      <c r="C29" s="11">
        <v>1.1073149999999998</v>
      </c>
      <c r="D29" s="44">
        <f t="shared" si="0"/>
        <v>1.1073149999999998</v>
      </c>
      <c r="E29" s="81"/>
      <c r="F29" s="46" cm="1">
        <f t="array" ref="F29">$D29*SUM(IF('Raw Materials'!$B$2:$B$36=Cars!$B29,'Raw Materials'!$C$2:$C$36))</f>
        <v>2.5468244999999996</v>
      </c>
      <c r="G29" s="81"/>
      <c r="H29" s="47" cm="1">
        <f t="array" ref="H29">$D29*SUM(IF('Raw Materials'!$B$2:$B$36=$B29,'Raw Materials'!$C$2:$C$36))/SUM(IF('Raw Materials'!$B$2:$B$36=Cars!$B29,'Raw Materials'!$D$2:$D$36))</f>
        <v>2.3152949999999997E-5</v>
      </c>
      <c r="I29" s="81"/>
    </row>
    <row r="30" spans="1:9" x14ac:dyDescent="0.25">
      <c r="A30" s="84"/>
      <c r="B30" s="17" t="s">
        <v>25</v>
      </c>
      <c r="C30" s="42">
        <v>4.95E-4</v>
      </c>
      <c r="D30" s="43">
        <f t="shared" si="0"/>
        <v>4.95E-4</v>
      </c>
      <c r="E30" s="80"/>
      <c r="F30" s="45" cm="1">
        <f t="array" ref="F30">$D30*SUM(IF('Raw Materials'!$B$2:$B$36=Cars!$B30,'Raw Materials'!$C$2:$C$36))</f>
        <v>1.7325000000000001E-3</v>
      </c>
      <c r="G30" s="80"/>
      <c r="H30" s="20" cm="1">
        <f t="array" ref="H30">$D30*SUM(IF('Raw Materials'!$B$2:$B$36=$B30,'Raw Materials'!$C$2:$C$36))/SUM(IF('Raw Materials'!$B$2:$B$36=Cars!$B30,'Raw Materials'!$D$2:$D$36))</f>
        <v>1.575E-7</v>
      </c>
      <c r="I30" s="80"/>
    </row>
  </sheetData>
  <mergeCells count="10">
    <mergeCell ref="A1:A2"/>
    <mergeCell ref="A3:A4"/>
    <mergeCell ref="B1:C1"/>
    <mergeCell ref="E5:E30"/>
    <mergeCell ref="E3:E4"/>
    <mergeCell ref="G3:G4"/>
    <mergeCell ref="I3:I4"/>
    <mergeCell ref="I5:I30"/>
    <mergeCell ref="G5:G30"/>
    <mergeCell ref="A5:A3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3FA3-AADD-40EF-BB67-54E1A0787913}">
  <dimension ref="A1:M59"/>
  <sheetViews>
    <sheetView tabSelected="1" workbookViewId="0">
      <selection activeCell="N34" sqref="N34"/>
    </sheetView>
  </sheetViews>
  <sheetFormatPr defaultRowHeight="15" x14ac:dyDescent="0.25"/>
  <cols>
    <col min="1" max="1" width="18.140625" customWidth="1"/>
    <col min="2" max="2" width="12.85546875" bestFit="1" customWidth="1"/>
    <col min="3" max="3" width="11.85546875" customWidth="1"/>
    <col min="4" max="4" width="12.7109375" style="9" customWidth="1"/>
    <col min="5" max="7" width="12.7109375" customWidth="1"/>
    <col min="8" max="8" width="20" bestFit="1" customWidth="1"/>
    <col min="9" max="9" width="12.7109375" customWidth="1"/>
    <col min="12" max="12" width="16.140625" bestFit="1" customWidth="1"/>
  </cols>
  <sheetData>
    <row r="1" spans="1:13" x14ac:dyDescent="0.25">
      <c r="A1" s="69" t="s">
        <v>67</v>
      </c>
      <c r="B1" s="69" t="s">
        <v>80</v>
      </c>
      <c r="C1" s="69"/>
      <c r="D1" s="10" t="s">
        <v>79</v>
      </c>
      <c r="E1" s="10" t="s">
        <v>81</v>
      </c>
      <c r="F1" s="10" t="s">
        <v>91</v>
      </c>
      <c r="G1" s="10" t="s">
        <v>82</v>
      </c>
      <c r="H1" s="10" t="s">
        <v>92</v>
      </c>
      <c r="I1" s="10" t="s">
        <v>83</v>
      </c>
    </row>
    <row r="2" spans="1:13" x14ac:dyDescent="0.25">
      <c r="A2" s="70"/>
      <c r="B2" s="21"/>
      <c r="C2" s="21" t="s">
        <v>77</v>
      </c>
      <c r="D2" s="22" t="s">
        <v>84</v>
      </c>
      <c r="E2" s="23"/>
      <c r="F2" s="23"/>
      <c r="G2" s="23"/>
      <c r="H2" s="23"/>
      <c r="I2" s="23"/>
    </row>
    <row r="3" spans="1:13" x14ac:dyDescent="0.25">
      <c r="A3" s="71" t="s">
        <v>88</v>
      </c>
      <c r="B3" s="24" t="s">
        <v>26</v>
      </c>
      <c r="C3" s="25">
        <v>7500</v>
      </c>
      <c r="D3" s="32">
        <f>C3</f>
        <v>7500</v>
      </c>
      <c r="E3" s="66">
        <f>SUM(D3:D8)</f>
        <v>12105.89</v>
      </c>
      <c r="F3" s="37" cm="1">
        <f t="array" ref="F3">$D3*SUM(IF('Raw Materials'!$B$2:$B$36=$B3,'Raw Materials'!$C$2:$C$36))</f>
        <v>9000</v>
      </c>
      <c r="G3" s="66">
        <f>SUM(F3:F8)</f>
        <v>9467.1219999999994</v>
      </c>
      <c r="H3" s="19" cm="1">
        <f t="array" ref="H3">$D3*SUM(IF('Raw Materials'!$B$2:$B$36=$B3,'Raw Materials'!$C$2:$C$36))/SUM(IF('Raw Materials'!$B$2:$B$36=$B3,'Raw Materials'!$D$2:$D$36))</f>
        <v>1.2857142857142858E-4</v>
      </c>
      <c r="I3" s="66">
        <f>SUM(H3:H8)</f>
        <v>7.6614524264406617E-4</v>
      </c>
    </row>
    <row r="4" spans="1:13" x14ac:dyDescent="0.25">
      <c r="A4" s="72"/>
      <c r="B4" s="7" t="s">
        <v>3</v>
      </c>
      <c r="C4" s="8">
        <v>4600</v>
      </c>
      <c r="D4" s="12">
        <f t="shared" ref="D4:D59" si="0">C4</f>
        <v>4600</v>
      </c>
      <c r="E4" s="67"/>
      <c r="F4" s="36" cm="1">
        <f t="array" ref="F4">$D4*SUM(IF('Raw Materials'!$B$2:$B$36=$B4,'Raw Materials'!$C$2:$C$36))</f>
        <v>460</v>
      </c>
      <c r="G4" s="67"/>
      <c r="H4" s="12" cm="1">
        <f t="array" ref="H4">$D4*SUM(IF('Raw Materials'!$B$2:$B$36=$B4,'Raw Materials'!$C$2:$C$36))/SUM(IF('Raw Materials'!$B$2:$B$36=$B4,'Raw Materials'!$D$2:$D$36))</f>
        <v>1.7692307692307691E-5</v>
      </c>
      <c r="I4" s="67"/>
    </row>
    <row r="5" spans="1:13" x14ac:dyDescent="0.25">
      <c r="A5" s="72"/>
      <c r="B5" s="5" t="s">
        <v>7</v>
      </c>
      <c r="C5" s="6">
        <v>0.04</v>
      </c>
      <c r="D5" s="12">
        <f t="shared" si="0"/>
        <v>0.04</v>
      </c>
      <c r="E5" s="67"/>
      <c r="F5" s="36" cm="1">
        <f t="array" ref="F5">$D5*SUM(IF('Raw Materials'!$B$2:$B$36=$B5,'Raw Materials'!$C$2:$C$36))</f>
        <v>0.192</v>
      </c>
      <c r="G5" s="67"/>
      <c r="H5" s="12" cm="1">
        <f t="array" ref="H5">$D5*SUM(IF('Raw Materials'!$B$2:$B$36=$B5,'Raw Materials'!$C$2:$C$36))/SUM(IF('Raw Materials'!$B$2:$B$36=$B5,'Raw Materials'!$D$2:$D$36))</f>
        <v>4.5714285714285713E-4</v>
      </c>
      <c r="I5" s="67"/>
    </row>
    <row r="6" spans="1:13" x14ac:dyDescent="0.25">
      <c r="A6" s="72"/>
      <c r="B6" s="5" t="s">
        <v>10</v>
      </c>
      <c r="C6" s="8">
        <v>0.15</v>
      </c>
      <c r="D6" s="12">
        <f t="shared" si="0"/>
        <v>0.15</v>
      </c>
      <c r="E6" s="67"/>
      <c r="F6" s="36" cm="1">
        <f t="array" ref="F6">$D6*SUM(IF('Raw Materials'!$B$2:$B$36=$B6,'Raw Materials'!$C$2:$C$36))</f>
        <v>0.09</v>
      </c>
      <c r="G6" s="67"/>
      <c r="H6" s="12" cm="1">
        <f t="array" ref="H6">$D6*SUM(IF('Raw Materials'!$B$2:$B$36=$B6,'Raw Materials'!$C$2:$C$36))/SUM(IF('Raw Materials'!$B$2:$B$36=$B6,'Raw Materials'!$D$2:$D$36))</f>
        <v>1.0588235294117646E-4</v>
      </c>
      <c r="I6" s="67"/>
    </row>
    <row r="7" spans="1:13" x14ac:dyDescent="0.25">
      <c r="A7" s="72"/>
      <c r="B7" s="5" t="s">
        <v>32</v>
      </c>
      <c r="C7" s="6">
        <v>3.8</v>
      </c>
      <c r="D7" s="12">
        <f t="shared" si="0"/>
        <v>3.8</v>
      </c>
      <c r="E7" s="67"/>
      <c r="F7" s="36" cm="1">
        <f t="array" ref="F7">$D7*SUM(IF('Raw Materials'!$B$2:$B$36=$B7,'Raw Materials'!$C$2:$C$36))</f>
        <v>5.3199999999999994</v>
      </c>
      <c r="G7" s="67"/>
      <c r="H7" s="12" cm="1">
        <f t="array" ref="H7">$D7*SUM(IF('Raw Materials'!$B$2:$B$36=$B7,'Raw Materials'!$C$2:$C$36))/SUM(IF('Raw Materials'!$B$2:$B$36=$B7,'Raw Materials'!$D$2:$D$36))</f>
        <v>5.5999999999999993E-7</v>
      </c>
      <c r="I7" s="67"/>
      <c r="L7" t="s">
        <v>124</v>
      </c>
      <c r="M7" s="85">
        <f>I3</f>
        <v>7.6614524264406617E-4</v>
      </c>
    </row>
    <row r="8" spans="1:13" x14ac:dyDescent="0.25">
      <c r="A8" s="73"/>
      <c r="B8" s="26" t="s">
        <v>21</v>
      </c>
      <c r="C8" s="27">
        <v>1.9</v>
      </c>
      <c r="D8" s="33">
        <f t="shared" si="0"/>
        <v>1.9</v>
      </c>
      <c r="E8" s="68"/>
      <c r="F8" s="38" cm="1">
        <f t="array" ref="F8">$D8*SUM(IF('Raw Materials'!$B$2:$B$36=$B8,'Raw Materials'!$C$2:$C$36))</f>
        <v>1.52</v>
      </c>
      <c r="G8" s="68"/>
      <c r="H8" s="33" cm="1">
        <f t="array" ref="H8">$D8*SUM(IF('Raw Materials'!$B$2:$B$36=$B8,'Raw Materials'!$C$2:$C$36))/SUM(IF('Raw Materials'!$B$2:$B$36=$B8,'Raw Materials'!$D$2:$D$36))</f>
        <v>5.62962962962963E-5</v>
      </c>
      <c r="I8" s="68"/>
      <c r="L8" t="s">
        <v>87</v>
      </c>
      <c r="M8" s="85">
        <f>I9</f>
        <v>2.882918300782877E-2</v>
      </c>
    </row>
    <row r="9" spans="1:13" x14ac:dyDescent="0.25">
      <c r="A9" s="71" t="s">
        <v>87</v>
      </c>
      <c r="B9" s="24" t="s">
        <v>26</v>
      </c>
      <c r="C9" s="25">
        <v>1250</v>
      </c>
      <c r="D9" s="32">
        <f t="shared" si="0"/>
        <v>1250</v>
      </c>
      <c r="E9" s="66">
        <f>SUM(D9:D19)</f>
        <v>4881.0600000000004</v>
      </c>
      <c r="F9" s="39" cm="1">
        <f t="array" ref="F9">$D9*SUM(IF('Raw Materials'!$B$2:$B$36=$B9,'Raw Materials'!$C$2:$C$36))</f>
        <v>1500</v>
      </c>
      <c r="G9" s="66">
        <f>SUM(F9:F19)</f>
        <v>3446.93</v>
      </c>
      <c r="H9" s="48" cm="1">
        <f t="array" ref="H9">$D9*SUM(IF('Raw Materials'!$B$2:$B$36=$B9,'Raw Materials'!$C$2:$C$36))/SUM(IF('Raw Materials'!$B$2:$B$36=$B9,'Raw Materials'!$D$2:$D$36))</f>
        <v>2.1428571428571428E-5</v>
      </c>
      <c r="I9" s="66">
        <f>SUM(H9:H19)</f>
        <v>2.882918300782877E-2</v>
      </c>
      <c r="L9" t="s">
        <v>74</v>
      </c>
      <c r="M9" s="85">
        <f>I20</f>
        <v>2.0450226244343893E-5</v>
      </c>
    </row>
    <row r="10" spans="1:13" x14ac:dyDescent="0.25">
      <c r="A10" s="72"/>
      <c r="B10" s="7" t="s">
        <v>27</v>
      </c>
      <c r="C10" s="8">
        <v>0.94</v>
      </c>
      <c r="D10" s="12">
        <f t="shared" si="0"/>
        <v>0.94</v>
      </c>
      <c r="E10" s="67"/>
      <c r="F10" s="36" cm="1">
        <f t="array" ref="F10">$D10*SUM(IF('Raw Materials'!$B$2:$B$36=$B10,'Raw Materials'!$C$2:$C$36))</f>
        <v>3.5719999999999996</v>
      </c>
      <c r="G10" s="67"/>
      <c r="H10" s="49" cm="1">
        <f t="array" ref="H10">$D10*SUM(IF('Raw Materials'!$B$2:$B$36=$B10,'Raw Materials'!$C$2:$C$36))/SUM(IF('Raw Materials'!$B$2:$B$36=$B10,'Raw Materials'!$D$2:$D$36))</f>
        <v>7.9377777777777772E-7</v>
      </c>
      <c r="I10" s="67"/>
      <c r="L10" t="s">
        <v>75</v>
      </c>
      <c r="M10" s="85">
        <f>I25</f>
        <v>9.1782167832167832E-4</v>
      </c>
    </row>
    <row r="11" spans="1:13" x14ac:dyDescent="0.25">
      <c r="A11" s="72"/>
      <c r="B11" s="5" t="s">
        <v>1</v>
      </c>
      <c r="C11" s="6">
        <v>492</v>
      </c>
      <c r="D11" s="12">
        <f t="shared" si="0"/>
        <v>492</v>
      </c>
      <c r="E11" s="67"/>
      <c r="F11" s="36" cm="1">
        <f t="array" ref="F11">$D11*SUM(IF('Raw Materials'!$B$2:$B$36=$B11,'Raw Materials'!$C$2:$C$36))</f>
        <v>344.4</v>
      </c>
      <c r="G11" s="67"/>
      <c r="H11" s="49" cm="1">
        <f t="array" ref="H11">$D11*SUM(IF('Raw Materials'!$B$2:$B$36=$B11,'Raw Materials'!$C$2:$C$36))/SUM(IF('Raw Materials'!$B$2:$B$36=$B11,'Raw Materials'!$D$2:$D$36))</f>
        <v>8.6099999999999989E-6</v>
      </c>
      <c r="I11" s="67"/>
      <c r="L11" t="s">
        <v>125</v>
      </c>
      <c r="M11" s="85">
        <f>I27</f>
        <v>1.8535515795968737E-3</v>
      </c>
    </row>
    <row r="12" spans="1:13" x14ac:dyDescent="0.25">
      <c r="A12" s="72"/>
      <c r="B12" s="7" t="s">
        <v>3</v>
      </c>
      <c r="C12" s="8">
        <v>1800</v>
      </c>
      <c r="D12" s="12">
        <f t="shared" si="0"/>
        <v>1800</v>
      </c>
      <c r="E12" s="67"/>
      <c r="F12" s="36" cm="1">
        <f t="array" ref="F12">$D12*SUM(IF('Raw Materials'!$B$2:$B$36=$B12,'Raw Materials'!$C$2:$C$36))</f>
        <v>180</v>
      </c>
      <c r="G12" s="67"/>
      <c r="H12" s="49" cm="1">
        <f t="array" ref="H12">$D12*SUM(IF('Raw Materials'!$B$2:$B$36=$B12,'Raw Materials'!$C$2:$C$36))/SUM(IF('Raw Materials'!$B$2:$B$36=$B12,'Raw Materials'!$D$2:$D$36))</f>
        <v>6.9230769230769234E-6</v>
      </c>
      <c r="I12" s="67"/>
      <c r="L12" t="s">
        <v>126</v>
      </c>
      <c r="M12" s="85">
        <f>I32</f>
        <v>7.3995486425339375E-6</v>
      </c>
    </row>
    <row r="13" spans="1:13" x14ac:dyDescent="0.25">
      <c r="A13" s="72"/>
      <c r="B13" s="5" t="s">
        <v>4</v>
      </c>
      <c r="C13" s="6">
        <v>4.74</v>
      </c>
      <c r="D13" s="12">
        <f t="shared" si="0"/>
        <v>4.74</v>
      </c>
      <c r="E13" s="67"/>
      <c r="F13" s="36" cm="1">
        <f t="array" ref="F13">$D13*SUM(IF('Raw Materials'!$B$2:$B$36=$B13,'Raw Materials'!$C$2:$C$36))</f>
        <v>26.544</v>
      </c>
      <c r="G13" s="67"/>
      <c r="H13" s="49" cm="1">
        <f t="array" ref="H13">$D13*SUM(IF('Raw Materials'!$B$2:$B$36=$B13,'Raw Materials'!$C$2:$C$36))/SUM(IF('Raw Materials'!$B$2:$B$36=$B13,'Raw Materials'!$D$2:$D$36))</f>
        <v>1.06176E-2</v>
      </c>
      <c r="I13" s="67"/>
      <c r="L13" t="s">
        <v>85</v>
      </c>
      <c r="M13" s="85">
        <f>I35</f>
        <v>4.5077616236595648E-3</v>
      </c>
    </row>
    <row r="14" spans="1:13" x14ac:dyDescent="0.25">
      <c r="A14" s="72"/>
      <c r="B14" s="7" t="s">
        <v>14</v>
      </c>
      <c r="C14" s="8">
        <v>784</v>
      </c>
      <c r="D14" s="12">
        <f t="shared" si="0"/>
        <v>784</v>
      </c>
      <c r="E14" s="67"/>
      <c r="F14" s="36" cm="1">
        <f t="array" ref="F14">$D14*SUM(IF('Raw Materials'!$B$2:$B$36=$B14,'Raw Materials'!$C$2:$C$36))</f>
        <v>940.8</v>
      </c>
      <c r="G14" s="67"/>
      <c r="H14" s="49" cm="1">
        <f t="array" ref="H14">$D14*SUM(IF('Raw Materials'!$B$2:$B$36=$B14,'Raw Materials'!$C$2:$C$36))/SUM(IF('Raw Materials'!$B$2:$B$36=$B14,'Raw Materials'!$D$2:$D$36))</f>
        <v>4.7039999999999997E-5</v>
      </c>
      <c r="I14" s="67"/>
    </row>
    <row r="15" spans="1:13" x14ac:dyDescent="0.25">
      <c r="A15" s="72"/>
      <c r="B15" s="5" t="s">
        <v>15</v>
      </c>
      <c r="C15" s="6">
        <v>103</v>
      </c>
      <c r="D15" s="12">
        <f t="shared" si="0"/>
        <v>103</v>
      </c>
      <c r="E15" s="67"/>
      <c r="F15" s="36" cm="1">
        <f t="array" ref="F15">$D15*SUM(IF('Raw Materials'!$B$2:$B$36=$B15,'Raw Materials'!$C$2:$C$36))</f>
        <v>82.4</v>
      </c>
      <c r="G15" s="67"/>
      <c r="H15" s="49" cm="1">
        <f t="array" ref="H15">$D15*SUM(IF('Raw Materials'!$B$2:$B$36=$B15,'Raw Materials'!$C$2:$C$36))/SUM(IF('Raw Materials'!$B$2:$B$36=$B15,'Raw Materials'!$D$2:$D$36))</f>
        <v>2.7466666666666671E-4</v>
      </c>
      <c r="I15" s="67"/>
    </row>
    <row r="16" spans="1:13" x14ac:dyDescent="0.25">
      <c r="A16" s="72"/>
      <c r="B16" s="7" t="s">
        <v>16</v>
      </c>
      <c r="C16" s="8">
        <v>40.4</v>
      </c>
      <c r="D16" s="12">
        <f t="shared" si="0"/>
        <v>40.4</v>
      </c>
      <c r="E16" s="67"/>
      <c r="F16" s="36" cm="1">
        <f t="array" ref="F16">$D16*SUM(IF('Raw Materials'!$B$2:$B$36=$B16,'Raw Materials'!$C$2:$C$36))</f>
        <v>145.44</v>
      </c>
      <c r="G16" s="67"/>
      <c r="H16" s="49" cm="1">
        <f t="array" ref="H16">$D16*SUM(IF('Raw Materials'!$B$2:$B$36=$B16,'Raw Materials'!$C$2:$C$36))/SUM(IF('Raw Materials'!$B$2:$B$36=$B16,'Raw Materials'!$D$2:$D$36))</f>
        <v>4.5449999999999996E-3</v>
      </c>
      <c r="I16" s="67"/>
    </row>
    <row r="17" spans="1:9" x14ac:dyDescent="0.25">
      <c r="A17" s="72"/>
      <c r="B17" s="5" t="s">
        <v>17</v>
      </c>
      <c r="C17" s="6">
        <v>399</v>
      </c>
      <c r="D17" s="12">
        <f t="shared" si="0"/>
        <v>399</v>
      </c>
      <c r="E17" s="67"/>
      <c r="F17" s="36" cm="1">
        <f t="array" ref="F17">$D17*SUM(IF('Raw Materials'!$B$2:$B$36=$B17,'Raw Materials'!$C$2:$C$36))</f>
        <v>199.5</v>
      </c>
      <c r="G17" s="67"/>
      <c r="H17" s="49" cm="1">
        <f t="array" ref="H17">$D17*SUM(IF('Raw Materials'!$B$2:$B$36=$B17,'Raw Materials'!$C$2:$C$36))/SUM(IF('Raw Materials'!$B$2:$B$36=$B17,'Raw Materials'!$D$2:$D$36))</f>
        <v>5.8676470588235296E-5</v>
      </c>
      <c r="I17" s="67"/>
    </row>
    <row r="18" spans="1:9" x14ac:dyDescent="0.25">
      <c r="A18" s="72"/>
      <c r="B18" s="7" t="s">
        <v>20</v>
      </c>
      <c r="C18" s="8">
        <v>5.84</v>
      </c>
      <c r="D18" s="12">
        <f t="shared" si="0"/>
        <v>5.84</v>
      </c>
      <c r="E18" s="67"/>
      <c r="F18" s="36" cm="1">
        <f t="array" ref="F18">$D18*SUM(IF('Raw Materials'!$B$2:$B$36=$B18,'Raw Materials'!$C$2:$C$36))</f>
        <v>18.687999999999999</v>
      </c>
      <c r="G18" s="67"/>
      <c r="H18" s="49" cm="1">
        <f t="array" ref="H18">$D18*SUM(IF('Raw Materials'!$B$2:$B$36=$B18,'Raw Materials'!$C$2:$C$36))/SUM(IF('Raw Materials'!$B$2:$B$36=$B18,'Raw Materials'!$D$2:$D$36))</f>
        <v>2.0764444444444441E-3</v>
      </c>
      <c r="I18" s="67"/>
    </row>
    <row r="19" spans="1:9" x14ac:dyDescent="0.25">
      <c r="A19" s="73"/>
      <c r="B19" s="28" t="s">
        <v>23</v>
      </c>
      <c r="C19" s="29">
        <v>1.1399999999999999</v>
      </c>
      <c r="D19" s="33">
        <f t="shared" si="0"/>
        <v>1.1399999999999999</v>
      </c>
      <c r="E19" s="68"/>
      <c r="F19" s="38" cm="1">
        <f t="array" ref="F19">$D19*SUM(IF('Raw Materials'!$B$2:$B$36=$B19,'Raw Materials'!$C$2:$C$36))</f>
        <v>5.5860000000000003</v>
      </c>
      <c r="G19" s="68"/>
      <c r="H19" s="50" cm="1">
        <f t="array" ref="H19">$D19*SUM(IF('Raw Materials'!$B$2:$B$36=$B19,'Raw Materials'!$C$2:$C$36))/SUM(IF('Raw Materials'!$B$2:$B$36=$B19,'Raw Materials'!$D$2:$D$36))</f>
        <v>1.1172000000000001E-2</v>
      </c>
      <c r="I19" s="68"/>
    </row>
    <row r="20" spans="1:9" x14ac:dyDescent="0.25">
      <c r="A20" s="71" t="s">
        <v>74</v>
      </c>
      <c r="B20" s="24" t="s">
        <v>3</v>
      </c>
      <c r="C20" s="25">
        <v>1050</v>
      </c>
      <c r="D20" s="32">
        <f t="shared" si="0"/>
        <v>1050</v>
      </c>
      <c r="E20" s="66">
        <f>SUM(D20:D22)</f>
        <v>1280</v>
      </c>
      <c r="F20" s="39" cm="1">
        <f t="array" ref="F20">$D20*SUM(IF('Raw Materials'!$B$2:$B$36=$B20,'Raw Materials'!$C$2:$C$36))</f>
        <v>105</v>
      </c>
      <c r="G20" s="66">
        <f>SUM(F20:F22)</f>
        <v>360</v>
      </c>
      <c r="H20" s="48" cm="1">
        <f t="array" ref="H20">$D20*SUM(IF('Raw Materials'!$B$2:$B$36=$B20,'Raw Materials'!$C$2:$C$36))/SUM(IF('Raw Materials'!$B$2:$B$36=$B20,'Raw Materials'!$D$2:$D$36))</f>
        <v>4.0384615384615385E-6</v>
      </c>
      <c r="I20" s="66">
        <f>SUM(H20:H22)</f>
        <v>2.0450226244343893E-5</v>
      </c>
    </row>
    <row r="21" spans="1:9" x14ac:dyDescent="0.25">
      <c r="A21" s="72"/>
      <c r="B21" s="7" t="s">
        <v>14</v>
      </c>
      <c r="C21" s="8">
        <v>200</v>
      </c>
      <c r="D21" s="12">
        <f t="shared" si="0"/>
        <v>200</v>
      </c>
      <c r="E21" s="67"/>
      <c r="F21" s="36" cm="1">
        <f t="array" ref="F21">$D21*SUM(IF('Raw Materials'!$B$2:$B$36=$B21,'Raw Materials'!$C$2:$C$36))</f>
        <v>240</v>
      </c>
      <c r="G21" s="67"/>
      <c r="H21" s="49" cm="1">
        <f t="array" ref="H21">$D21*SUM(IF('Raw Materials'!$B$2:$B$36=$B21,'Raw Materials'!$C$2:$C$36))/SUM(IF('Raw Materials'!$B$2:$B$36=$B21,'Raw Materials'!$D$2:$D$36))</f>
        <v>1.2E-5</v>
      </c>
      <c r="I21" s="67"/>
    </row>
    <row r="22" spans="1:9" x14ac:dyDescent="0.25">
      <c r="A22" s="73"/>
      <c r="B22" s="28" t="s">
        <v>17</v>
      </c>
      <c r="C22" s="29">
        <v>30</v>
      </c>
      <c r="D22" s="33">
        <f t="shared" si="0"/>
        <v>30</v>
      </c>
      <c r="E22" s="68"/>
      <c r="F22" s="38" cm="1">
        <f t="array" ref="F22">$D22*SUM(IF('Raw Materials'!$B$2:$B$36=$B22,'Raw Materials'!$C$2:$C$36))</f>
        <v>15</v>
      </c>
      <c r="G22" s="68"/>
      <c r="H22" s="50" cm="1">
        <f t="array" ref="H22">$D22*SUM(IF('Raw Materials'!$B$2:$B$36=$B22,'Raw Materials'!$C$2:$C$36))/SUM(IF('Raw Materials'!$B$2:$B$36=$B22,'Raw Materials'!$D$2:$D$36))</f>
        <v>4.4117647058823526E-6</v>
      </c>
      <c r="I22" s="68"/>
    </row>
    <row r="23" spans="1:9" x14ac:dyDescent="0.25">
      <c r="A23" s="71" t="s">
        <v>123</v>
      </c>
      <c r="B23" s="5" t="s">
        <v>1</v>
      </c>
      <c r="C23" s="6">
        <v>62000</v>
      </c>
      <c r="D23" s="12">
        <f t="shared" si="0"/>
        <v>62000</v>
      </c>
      <c r="E23" s="66">
        <f>SUM(D23:D24)</f>
        <v>182000</v>
      </c>
      <c r="F23" s="36" cm="1">
        <f t="array" ref="F23">$D23*SUM(IF('Raw Materials'!$B$2:$B$36=$B23,'Raw Materials'!$C$2:$C$36))</f>
        <v>43400</v>
      </c>
      <c r="G23" s="66">
        <f>SUM(F23:F24)</f>
        <v>103400</v>
      </c>
      <c r="H23" s="49" cm="1">
        <f t="array" ref="H23">$D23*SUM(IF('Raw Materials'!$B$2:$B$36=$B23,'Raw Materials'!$C$2:$C$36))/SUM(IF('Raw Materials'!$B$2:$B$36=$B23,'Raw Materials'!$D$2:$D$36))</f>
        <v>1.085E-3</v>
      </c>
      <c r="I23" s="66">
        <f>SUM(H23:H24)</f>
        <v>1.8732058823529411E-2</v>
      </c>
    </row>
    <row r="24" spans="1:9" x14ac:dyDescent="0.25">
      <c r="A24" s="73"/>
      <c r="B24" s="5" t="s">
        <v>17</v>
      </c>
      <c r="C24" s="6">
        <v>120000</v>
      </c>
      <c r="D24" s="12">
        <f t="shared" si="0"/>
        <v>120000</v>
      </c>
      <c r="E24" s="68"/>
      <c r="F24" s="36" cm="1">
        <f t="array" ref="F24">$D24*SUM(IF('Raw Materials'!$B$2:$B$36=$B24,'Raw Materials'!$C$2:$C$36))</f>
        <v>60000</v>
      </c>
      <c r="G24" s="68"/>
      <c r="H24" s="49" cm="1">
        <f t="array" ref="H24">$D24*SUM(IF('Raw Materials'!$B$2:$B$36=$B24,'Raw Materials'!$C$2:$C$36))/SUM(IF('Raw Materials'!$B$2:$B$36=$B24,'Raw Materials'!$D$2:$D$36))</f>
        <v>1.7647058823529412E-2</v>
      </c>
      <c r="I24" s="68"/>
    </row>
    <row r="25" spans="1:9" x14ac:dyDescent="0.25">
      <c r="A25" s="77" t="s">
        <v>75</v>
      </c>
      <c r="B25" s="30" t="s">
        <v>3</v>
      </c>
      <c r="C25" s="31">
        <v>2270</v>
      </c>
      <c r="D25" s="32">
        <f t="shared" si="0"/>
        <v>2270</v>
      </c>
      <c r="E25" s="66">
        <f>SUM(D25:D26)</f>
        <v>2670</v>
      </c>
      <c r="F25" s="39" cm="1">
        <f t="array" ref="F25">$D25*SUM(IF('Raw Materials'!$B$2:$B$36=$B25,'Raw Materials'!$C$2:$C$36))</f>
        <v>227</v>
      </c>
      <c r="G25" s="66">
        <f>SUM(F25:F26)</f>
        <v>427</v>
      </c>
      <c r="H25" s="48" cm="1">
        <f t="array" ref="H25">$D25*SUM(IF('Raw Materials'!$B$2:$B$36=$B25,'Raw Materials'!$C$2:$C$36))/SUM(IF('Raw Materials'!$B$2:$B$36=$B25,'Raw Materials'!$D$2:$D$36))</f>
        <v>8.7307692307692303E-6</v>
      </c>
      <c r="I25" s="66">
        <f>SUM(H25:H26)</f>
        <v>9.1782167832167832E-4</v>
      </c>
    </row>
    <row r="26" spans="1:9" x14ac:dyDescent="0.25">
      <c r="A26" s="70"/>
      <c r="B26" s="28" t="s">
        <v>33</v>
      </c>
      <c r="C26" s="29">
        <v>400</v>
      </c>
      <c r="D26" s="33">
        <f t="shared" si="0"/>
        <v>400</v>
      </c>
      <c r="E26" s="68"/>
      <c r="F26" s="38" cm="1">
        <f t="array" ref="F26">$D26*SUM(IF('Raw Materials'!$B$2:$B$36=$B26,'Raw Materials'!$C$2:$C$36))</f>
        <v>200</v>
      </c>
      <c r="G26" s="68"/>
      <c r="H26" s="50" cm="1">
        <f t="array" ref="H26">$D26*SUM(IF('Raw Materials'!$B$2:$B$36=$B26,'Raw Materials'!$C$2:$C$36))/SUM(IF('Raw Materials'!$B$2:$B$36=$B26,'Raw Materials'!$D$2:$D$36))</f>
        <v>9.0909090909090909E-4</v>
      </c>
      <c r="I26" s="68"/>
    </row>
    <row r="27" spans="1:9" x14ac:dyDescent="0.25">
      <c r="A27" s="77" t="s">
        <v>76</v>
      </c>
      <c r="B27" s="30" t="s">
        <v>1</v>
      </c>
      <c r="C27" s="31">
        <v>308</v>
      </c>
      <c r="D27" s="32">
        <f t="shared" si="0"/>
        <v>308</v>
      </c>
      <c r="E27" s="66">
        <f>SUM(D27:D31)</f>
        <v>2447.3000000000002</v>
      </c>
      <c r="F27" s="39" cm="1">
        <f t="array" ref="F27">$D27*SUM(IF('Raw Materials'!$B$2:$B$36=$B27,'Raw Materials'!$C$2:$C$36))</f>
        <v>215.6</v>
      </c>
      <c r="G27" s="66">
        <f>SUM(F27:F31)</f>
        <v>1087.54</v>
      </c>
      <c r="H27" s="48" cm="1">
        <f t="array" ref="H27">$D27*SUM(IF('Raw Materials'!$B$2:$B$36=$B27,'Raw Materials'!$C$2:$C$36))/SUM(IF('Raw Materials'!$B$2:$B$36=$B27,'Raw Materials'!$D$2:$D$36))</f>
        <v>5.3900000000000001E-6</v>
      </c>
      <c r="I27" s="66">
        <f>SUM(H27:H31)</f>
        <v>1.8535515795968737E-3</v>
      </c>
    </row>
    <row r="28" spans="1:9" x14ac:dyDescent="0.25">
      <c r="A28" s="69"/>
      <c r="B28" s="5" t="s">
        <v>2</v>
      </c>
      <c r="C28" s="6">
        <v>202</v>
      </c>
      <c r="D28" s="12">
        <f t="shared" si="0"/>
        <v>202</v>
      </c>
      <c r="E28" s="67"/>
      <c r="F28" s="36" cm="1">
        <f t="array" ref="F28">$D28*SUM(IF('Raw Materials'!$B$2:$B$36=$B28,'Raw Materials'!$C$2:$C$36))</f>
        <v>343.4</v>
      </c>
      <c r="G28" s="67"/>
      <c r="H28" s="49" cm="1">
        <f t="array" ref="H28">$D28*SUM(IF('Raw Materials'!$B$2:$B$36=$B28,'Raw Materials'!$C$2:$C$36))/SUM(IF('Raw Materials'!$B$2:$B$36=$B28,'Raw Materials'!$D$2:$D$36))</f>
        <v>1.5609090909090909E-3</v>
      </c>
      <c r="I28" s="67"/>
    </row>
    <row r="29" spans="1:9" x14ac:dyDescent="0.25">
      <c r="A29" s="69"/>
      <c r="B29" s="7" t="s">
        <v>3</v>
      </c>
      <c r="C29" s="8">
        <v>1150</v>
      </c>
      <c r="D29" s="12">
        <f t="shared" si="0"/>
        <v>1150</v>
      </c>
      <c r="E29" s="67"/>
      <c r="F29" s="36" cm="1">
        <f t="array" ref="F29">$D29*SUM(IF('Raw Materials'!$B$2:$B$36=$B29,'Raw Materials'!$C$2:$C$36))</f>
        <v>115</v>
      </c>
      <c r="G29" s="67"/>
      <c r="H29" s="49" cm="1">
        <f t="array" ref="H29">$D29*SUM(IF('Raw Materials'!$B$2:$B$36=$B29,'Raw Materials'!$C$2:$C$36))/SUM(IF('Raw Materials'!$B$2:$B$36=$B29,'Raw Materials'!$D$2:$D$36))</f>
        <v>4.4230769230769228E-6</v>
      </c>
      <c r="I29" s="67"/>
    </row>
    <row r="30" spans="1:9" x14ac:dyDescent="0.25">
      <c r="A30" s="69"/>
      <c r="B30" s="5" t="s">
        <v>15</v>
      </c>
      <c r="C30" s="6">
        <v>66.3</v>
      </c>
      <c r="D30" s="12">
        <f t="shared" si="0"/>
        <v>66.3</v>
      </c>
      <c r="E30" s="67"/>
      <c r="F30" s="36" cm="1">
        <f t="array" ref="F30">$D30*SUM(IF('Raw Materials'!$B$2:$B$36=$B30,'Raw Materials'!$C$2:$C$36))</f>
        <v>53.04</v>
      </c>
      <c r="G30" s="67"/>
      <c r="H30" s="49" cm="1">
        <f t="array" ref="H30">$D30*SUM(IF('Raw Materials'!$B$2:$B$36=$B30,'Raw Materials'!$C$2:$C$36))/SUM(IF('Raw Materials'!$B$2:$B$36=$B30,'Raw Materials'!$D$2:$D$36))</f>
        <v>1.7679999999999999E-4</v>
      </c>
      <c r="I30" s="67"/>
    </row>
    <row r="31" spans="1:9" x14ac:dyDescent="0.25">
      <c r="A31" s="70"/>
      <c r="B31" s="26" t="s">
        <v>17</v>
      </c>
      <c r="C31" s="27">
        <v>721</v>
      </c>
      <c r="D31" s="33">
        <f t="shared" si="0"/>
        <v>721</v>
      </c>
      <c r="E31" s="68"/>
      <c r="F31" s="38" cm="1">
        <f t="array" ref="F31">$D31*SUM(IF('Raw Materials'!$B$2:$B$36=$B31,'Raw Materials'!$C$2:$C$36))</f>
        <v>360.5</v>
      </c>
      <c r="G31" s="68"/>
      <c r="H31" s="50" cm="1">
        <f t="array" ref="H31">$D31*SUM(IF('Raw Materials'!$B$2:$B$36=$B31,'Raw Materials'!$C$2:$C$36))/SUM(IF('Raw Materials'!$B$2:$B$36=$B31,'Raw Materials'!$D$2:$D$36))</f>
        <v>1.0602941176470588E-4</v>
      </c>
      <c r="I31" s="68"/>
    </row>
    <row r="32" spans="1:9" x14ac:dyDescent="0.25">
      <c r="A32" s="71" t="s">
        <v>86</v>
      </c>
      <c r="B32" s="24" t="s">
        <v>1</v>
      </c>
      <c r="C32" s="25">
        <v>48.3</v>
      </c>
      <c r="D32" s="32">
        <f t="shared" si="0"/>
        <v>48.3</v>
      </c>
      <c r="E32" s="66">
        <f>SUM(D32:D34)</f>
        <v>1164.0999999999999</v>
      </c>
      <c r="F32" s="39" cm="1">
        <f t="array" ref="F32">$D32*SUM(IF('Raw Materials'!$B$2:$B$36=$B32,'Raw Materials'!$C$2:$C$36))</f>
        <v>33.809999999999995</v>
      </c>
      <c r="G32" s="66">
        <f>SUM(F32:F34)</f>
        <v>151.71</v>
      </c>
      <c r="H32" s="48" cm="1">
        <f t="array" ref="H32">$D32*SUM(IF('Raw Materials'!$B$2:$B$36=$B32,'Raw Materials'!$C$2:$C$36))/SUM(IF('Raw Materials'!$B$2:$B$36=$B32,'Raw Materials'!$D$2:$D$36))</f>
        <v>8.4524999999999987E-7</v>
      </c>
      <c r="I32" s="66">
        <f>SUM(H32:H34)</f>
        <v>7.3995486425339375E-6</v>
      </c>
    </row>
    <row r="33" spans="1:9" x14ac:dyDescent="0.25">
      <c r="A33" s="72"/>
      <c r="B33" s="7" t="s">
        <v>3</v>
      </c>
      <c r="C33" s="8">
        <v>1100</v>
      </c>
      <c r="D33" s="12">
        <f t="shared" si="0"/>
        <v>1100</v>
      </c>
      <c r="E33" s="67"/>
      <c r="F33" s="36" cm="1">
        <f t="array" ref="F33">$D33*SUM(IF('Raw Materials'!$B$2:$B$36=$B33,'Raw Materials'!$C$2:$C$36))</f>
        <v>110</v>
      </c>
      <c r="G33" s="67"/>
      <c r="H33" s="49" cm="1">
        <f t="array" ref="H33">$D33*SUM(IF('Raw Materials'!$B$2:$B$36=$B33,'Raw Materials'!$C$2:$C$36))/SUM(IF('Raw Materials'!$B$2:$B$36=$B33,'Raw Materials'!$D$2:$D$36))</f>
        <v>4.2307692307692311E-6</v>
      </c>
      <c r="I33" s="67"/>
    </row>
    <row r="34" spans="1:9" x14ac:dyDescent="0.25">
      <c r="A34" s="73"/>
      <c r="B34" s="28" t="s">
        <v>17</v>
      </c>
      <c r="C34" s="29">
        <v>15.8</v>
      </c>
      <c r="D34" s="33">
        <f t="shared" si="0"/>
        <v>15.8</v>
      </c>
      <c r="E34" s="68"/>
      <c r="F34" s="38" cm="1">
        <f t="array" ref="F34">$D34*SUM(IF('Raw Materials'!$B$2:$B$36=$B34,'Raw Materials'!$C$2:$C$36))</f>
        <v>7.9</v>
      </c>
      <c r="G34" s="68"/>
      <c r="H34" s="50" cm="1">
        <f t="array" ref="H34">$D34*SUM(IF('Raw Materials'!$B$2:$B$36=$B34,'Raw Materials'!$C$2:$C$36))/SUM(IF('Raw Materials'!$B$2:$B$36=$B34,'Raw Materials'!$D$2:$D$36))</f>
        <v>2.3235294117647059E-6</v>
      </c>
      <c r="I34" s="68"/>
    </row>
    <row r="35" spans="1:9" x14ac:dyDescent="0.25">
      <c r="A35" s="74" t="s">
        <v>85</v>
      </c>
      <c r="B35" s="30" t="s">
        <v>0</v>
      </c>
      <c r="C35" s="32">
        <v>4.05</v>
      </c>
      <c r="D35" s="32">
        <f t="shared" si="0"/>
        <v>4.05</v>
      </c>
      <c r="E35" s="66">
        <f>SUM(D35:D59)</f>
        <v>10313.230634900001</v>
      </c>
      <c r="F35" s="39" cm="1">
        <f t="array" ref="F35">$D35*SUM(IF('Raw Materials'!$B$2:$B$36=$B35,'Raw Materials'!$C$2:$C$36))</f>
        <v>16.2</v>
      </c>
      <c r="G35" s="66">
        <f>SUM(F35:F59)</f>
        <v>6442.8943493100014</v>
      </c>
      <c r="H35" s="48" cm="1">
        <f t="array" ref="H35">$D35*SUM(IF('Raw Materials'!$B$2:$B$36=$B35,'Raw Materials'!$C$2:$C$36))/SUM(IF('Raw Materials'!$B$2:$B$36=$B35,'Raw Materials'!$D$2:$D$36))</f>
        <v>1.08E-4</v>
      </c>
      <c r="I35" s="66">
        <f>SUM(H35:H59)</f>
        <v>4.5077616236595648E-3</v>
      </c>
    </row>
    <row r="36" spans="1:9" x14ac:dyDescent="0.25">
      <c r="A36" s="75"/>
      <c r="B36" s="7" t="s">
        <v>1</v>
      </c>
      <c r="C36" s="12">
        <v>4590</v>
      </c>
      <c r="D36" s="12">
        <f t="shared" si="0"/>
        <v>4590</v>
      </c>
      <c r="E36" s="67"/>
      <c r="F36" s="36" cm="1">
        <f t="array" ref="F36">$D36*SUM(IF('Raw Materials'!$B$2:$B$36=$B36,'Raw Materials'!$C$2:$C$36))</f>
        <v>3213</v>
      </c>
      <c r="G36" s="67"/>
      <c r="H36" s="49" cm="1">
        <f t="array" ref="H36">$D36*SUM(IF('Raw Materials'!$B$2:$B$36=$B36,'Raw Materials'!$C$2:$C$36))/SUM(IF('Raw Materials'!$B$2:$B$36=$B36,'Raw Materials'!$D$2:$D$36))</f>
        <v>8.0325000000000001E-5</v>
      </c>
      <c r="I36" s="67"/>
    </row>
    <row r="37" spans="1:9" x14ac:dyDescent="0.25">
      <c r="A37" s="75"/>
      <c r="B37" s="7" t="s">
        <v>2</v>
      </c>
      <c r="C37" s="12">
        <v>9</v>
      </c>
      <c r="D37" s="12">
        <f t="shared" si="0"/>
        <v>9</v>
      </c>
      <c r="E37" s="67"/>
      <c r="F37" s="36" cm="1">
        <f t="array" ref="F37">$D37*SUM(IF('Raw Materials'!$B$2:$B$36=$B37,'Raw Materials'!$C$2:$C$36))</f>
        <v>15.299999999999999</v>
      </c>
      <c r="G37" s="67"/>
      <c r="H37" s="49" cm="1">
        <f t="array" ref="H37">$D37*SUM(IF('Raw Materials'!$B$2:$B$36=$B37,'Raw Materials'!$C$2:$C$36))/SUM(IF('Raw Materials'!$B$2:$B$36=$B37,'Raw Materials'!$D$2:$D$36))</f>
        <v>6.9545454545454538E-5</v>
      </c>
      <c r="I37" s="67"/>
    </row>
    <row r="38" spans="1:9" x14ac:dyDescent="0.25">
      <c r="A38" s="75"/>
      <c r="B38" s="7" t="s">
        <v>3</v>
      </c>
      <c r="C38" s="12">
        <v>1500</v>
      </c>
      <c r="D38" s="12">
        <f t="shared" si="0"/>
        <v>1500</v>
      </c>
      <c r="E38" s="67"/>
      <c r="F38" s="36" cm="1">
        <f t="array" ref="F38">$D38*SUM(IF('Raw Materials'!$B$2:$B$36=$B38,'Raw Materials'!$C$2:$C$36))</f>
        <v>150</v>
      </c>
      <c r="G38" s="67"/>
      <c r="H38" s="49" cm="1">
        <f t="array" ref="H38">$D38*SUM(IF('Raw Materials'!$B$2:$B$36=$B38,'Raw Materials'!$C$2:$C$36))/SUM(IF('Raw Materials'!$B$2:$B$36=$B38,'Raw Materials'!$D$2:$D$36))</f>
        <v>5.7692307692307689E-6</v>
      </c>
      <c r="I38" s="67"/>
    </row>
    <row r="39" spans="1:9" x14ac:dyDescent="0.25">
      <c r="A39" s="75"/>
      <c r="B39" s="7" t="s">
        <v>4</v>
      </c>
      <c r="C39" s="12">
        <v>2.12E-4</v>
      </c>
      <c r="D39" s="12">
        <f t="shared" si="0"/>
        <v>2.12E-4</v>
      </c>
      <c r="E39" s="67"/>
      <c r="F39" s="36" cm="1">
        <f t="array" ref="F39">$D39*SUM(IF('Raw Materials'!$B$2:$B$36=$B39,'Raw Materials'!$C$2:$C$36))</f>
        <v>1.1872E-3</v>
      </c>
      <c r="G39" s="67"/>
      <c r="H39" s="49" cm="1">
        <f t="array" ref="H39">$D39*SUM(IF('Raw Materials'!$B$2:$B$36=$B39,'Raw Materials'!$C$2:$C$36))/SUM(IF('Raw Materials'!$B$2:$B$36=$B39,'Raw Materials'!$D$2:$D$36))</f>
        <v>4.7488000000000003E-7</v>
      </c>
      <c r="I39" s="67"/>
    </row>
    <row r="40" spans="1:9" x14ac:dyDescent="0.25">
      <c r="A40" s="75"/>
      <c r="B40" s="7" t="s">
        <v>5</v>
      </c>
      <c r="C40" s="12">
        <v>1.6300000000000002E-2</v>
      </c>
      <c r="D40" s="12">
        <f t="shared" si="0"/>
        <v>1.6300000000000002E-2</v>
      </c>
      <c r="E40" s="67"/>
      <c r="F40" s="36" cm="1">
        <f t="array" ref="F40">$D40*SUM(IF('Raw Materials'!$B$2:$B$36=$B40,'Raw Materials'!$C$2:$C$36))</f>
        <v>9.128E-2</v>
      </c>
      <c r="G40" s="67"/>
      <c r="H40" s="49" cm="1">
        <f t="array" ref="H40">$D40*SUM(IF('Raw Materials'!$B$2:$B$36=$B40,'Raw Materials'!$C$2:$C$36))/SUM(IF('Raw Materials'!$B$2:$B$36=$B40,'Raw Materials'!$D$2:$D$36))</f>
        <v>1.8255999999999999E-4</v>
      </c>
      <c r="I40" s="67"/>
    </row>
    <row r="41" spans="1:9" x14ac:dyDescent="0.25">
      <c r="A41" s="75"/>
      <c r="B41" s="7" t="s">
        <v>6</v>
      </c>
      <c r="C41" s="12">
        <v>5.6899999999999999E-2</v>
      </c>
      <c r="D41" s="12">
        <f t="shared" si="0"/>
        <v>5.6899999999999999E-2</v>
      </c>
      <c r="E41" s="67"/>
      <c r="F41" s="36" cm="1">
        <f t="array" ref="F41">$D41*SUM(IF('Raw Materials'!$B$2:$B$36=$B41,'Raw Materials'!$C$2:$C$36))</f>
        <v>0.18776999999999999</v>
      </c>
      <c r="G41" s="67"/>
      <c r="H41" s="49" cm="1">
        <f t="array" ref="H41">$D41*SUM(IF('Raw Materials'!$B$2:$B$36=$B41,'Raw Materials'!$C$2:$C$36))/SUM(IF('Raw Materials'!$B$2:$B$36=$B41,'Raw Materials'!$D$2:$D$36))</f>
        <v>9.3885E-5</v>
      </c>
      <c r="I41" s="67"/>
    </row>
    <row r="42" spans="1:9" x14ac:dyDescent="0.25">
      <c r="A42" s="75"/>
      <c r="B42" s="7" t="s">
        <v>7</v>
      </c>
      <c r="C42" s="12">
        <v>0.21199999999999999</v>
      </c>
      <c r="D42" s="12">
        <f t="shared" si="0"/>
        <v>0.21199999999999999</v>
      </c>
      <c r="E42" s="67"/>
      <c r="F42" s="36" cm="1">
        <f t="array" ref="F42">$D42*SUM(IF('Raw Materials'!$B$2:$B$36=$B42,'Raw Materials'!$C$2:$C$36))</f>
        <v>1.0175999999999998</v>
      </c>
      <c r="G42" s="67"/>
      <c r="H42" s="49" cm="1">
        <f t="array" ref="H42">$D42*SUM(IF('Raw Materials'!$B$2:$B$36=$B42,'Raw Materials'!$C$2:$C$36))/SUM(IF('Raw Materials'!$B$2:$B$36=$B42,'Raw Materials'!$D$2:$D$36))</f>
        <v>2.4228571428571424E-3</v>
      </c>
      <c r="I42" s="67"/>
    </row>
    <row r="43" spans="1:9" x14ac:dyDescent="0.25">
      <c r="A43" s="75"/>
      <c r="B43" s="7" t="s">
        <v>9</v>
      </c>
      <c r="C43" s="12">
        <v>0.95799999999999996</v>
      </c>
      <c r="D43" s="12">
        <f t="shared" si="0"/>
        <v>0.95799999999999996</v>
      </c>
      <c r="E43" s="67"/>
      <c r="F43" s="36" cm="1">
        <f t="array" ref="F43">$D43*SUM(IF('Raw Materials'!$B$2:$B$36=$B43,'Raw Materials'!$C$2:$C$36))</f>
        <v>0.95799999999999996</v>
      </c>
      <c r="G43" s="67"/>
      <c r="H43" s="49" cm="1">
        <f t="array" ref="H43">$D43*SUM(IF('Raw Materials'!$B$2:$B$36=$B43,'Raw Materials'!$C$2:$C$36))/SUM(IF('Raw Materials'!$B$2:$B$36=$B43,'Raw Materials'!$D$2:$D$36))</f>
        <v>2.3949999999999999E-7</v>
      </c>
      <c r="I43" s="67"/>
    </row>
    <row r="44" spans="1:9" x14ac:dyDescent="0.25">
      <c r="A44" s="75"/>
      <c r="B44" s="7" t="s">
        <v>10</v>
      </c>
      <c r="C44" s="12">
        <v>1.9E-3</v>
      </c>
      <c r="D44" s="12">
        <f t="shared" si="0"/>
        <v>1.9E-3</v>
      </c>
      <c r="E44" s="67"/>
      <c r="F44" s="36" cm="1">
        <f t="array" ref="F44">$D44*SUM(IF('Raw Materials'!$B$2:$B$36=$B44,'Raw Materials'!$C$2:$C$36))</f>
        <v>1.14E-3</v>
      </c>
      <c r="G44" s="67"/>
      <c r="H44" s="49" cm="1">
        <f t="array" ref="H44">$D44*SUM(IF('Raw Materials'!$B$2:$B$36=$B44,'Raw Materials'!$C$2:$C$36))/SUM(IF('Raw Materials'!$B$2:$B$36=$B44,'Raw Materials'!$D$2:$D$36))</f>
        <v>1.3411764705882353E-6</v>
      </c>
      <c r="I44" s="67"/>
    </row>
    <row r="45" spans="1:9" x14ac:dyDescent="0.25">
      <c r="A45" s="75"/>
      <c r="B45" s="7" t="s">
        <v>11</v>
      </c>
      <c r="C45" s="12">
        <v>1.87</v>
      </c>
      <c r="D45" s="12">
        <f t="shared" si="0"/>
        <v>1.87</v>
      </c>
      <c r="E45" s="67"/>
      <c r="F45" s="36" cm="1">
        <f t="array" ref="F45">$D45*SUM(IF('Raw Materials'!$B$2:$B$36=$B45,'Raw Materials'!$C$2:$C$36))</f>
        <v>6.5449999999999999</v>
      </c>
      <c r="G45" s="67"/>
      <c r="H45" s="49" cm="1">
        <f t="array" ref="H45">$D45*SUM(IF('Raw Materials'!$B$2:$B$36=$B45,'Raw Materials'!$C$2:$C$36))/SUM(IF('Raw Materials'!$B$2:$B$36=$B45,'Raw Materials'!$D$2:$D$36))</f>
        <v>1.3090000000000001E-4</v>
      </c>
      <c r="I45" s="67"/>
    </row>
    <row r="46" spans="1:9" x14ac:dyDescent="0.25">
      <c r="A46" s="75"/>
      <c r="B46" s="7" t="s">
        <v>12</v>
      </c>
      <c r="C46" s="12">
        <v>9.87E-5</v>
      </c>
      <c r="D46" s="12">
        <f t="shared" si="0"/>
        <v>9.87E-5</v>
      </c>
      <c r="E46" s="67"/>
      <c r="F46" s="36" cm="1">
        <f t="array" ref="F46">$D46*SUM(IF('Raw Materials'!$B$2:$B$36=$B46,'Raw Materials'!$C$2:$C$36))</f>
        <v>1.8752999999999999E-4</v>
      </c>
      <c r="G46" s="67"/>
      <c r="H46" s="49" cm="1">
        <f t="array" ref="H46">$D46*SUM(IF('Raw Materials'!$B$2:$B$36=$B46,'Raw Materials'!$C$2:$C$36))/SUM(IF('Raw Materials'!$B$2:$B$36=$B46,'Raw Materials'!$D$2:$D$36))</f>
        <v>2.0836666666666666E-10</v>
      </c>
      <c r="I46" s="67"/>
    </row>
    <row r="47" spans="1:9" x14ac:dyDescent="0.25">
      <c r="A47" s="75"/>
      <c r="B47" s="7" t="s">
        <v>13</v>
      </c>
      <c r="C47" s="12">
        <v>135</v>
      </c>
      <c r="D47" s="12">
        <f t="shared" si="0"/>
        <v>135</v>
      </c>
      <c r="E47" s="67"/>
      <c r="F47" s="36" cm="1">
        <f t="array" ref="F47">$D47*SUM(IF('Raw Materials'!$B$2:$B$36=$B47,'Raw Materials'!$C$2:$C$36))</f>
        <v>553.5</v>
      </c>
      <c r="G47" s="67"/>
      <c r="H47" s="49" cm="1">
        <f t="array" ref="H47">$D47*SUM(IF('Raw Materials'!$B$2:$B$36=$B47,'Raw Materials'!$C$2:$C$36))/SUM(IF('Raw Materials'!$B$2:$B$36=$B47,'Raw Materials'!$D$2:$D$36))</f>
        <v>3.9535714285714288E-4</v>
      </c>
      <c r="I47" s="67"/>
    </row>
    <row r="48" spans="1:9" x14ac:dyDescent="0.25">
      <c r="A48" s="75"/>
      <c r="B48" s="7" t="s">
        <v>14</v>
      </c>
      <c r="C48" s="12">
        <v>618</v>
      </c>
      <c r="D48" s="12">
        <f t="shared" si="0"/>
        <v>618</v>
      </c>
      <c r="E48" s="67"/>
      <c r="F48" s="36" cm="1">
        <f t="array" ref="F48">$D48*SUM(IF('Raw Materials'!$B$2:$B$36=$B48,'Raw Materials'!$C$2:$C$36))</f>
        <v>741.6</v>
      </c>
      <c r="G48" s="67"/>
      <c r="H48" s="49" cm="1">
        <f t="array" ref="H48">$D48*SUM(IF('Raw Materials'!$B$2:$B$36=$B48,'Raw Materials'!$C$2:$C$36))/SUM(IF('Raw Materials'!$B$2:$B$36=$B48,'Raw Materials'!$D$2:$D$36))</f>
        <v>3.7080000000000004E-5</v>
      </c>
      <c r="I48" s="67"/>
    </row>
    <row r="49" spans="1:9" x14ac:dyDescent="0.25">
      <c r="A49" s="75"/>
      <c r="B49" s="7" t="s">
        <v>15</v>
      </c>
      <c r="C49" s="12">
        <v>31.2</v>
      </c>
      <c r="D49" s="12">
        <f t="shared" si="0"/>
        <v>31.2</v>
      </c>
      <c r="E49" s="67"/>
      <c r="F49" s="36" cm="1">
        <f t="array" ref="F49">$D49*SUM(IF('Raw Materials'!$B$2:$B$36=$B49,'Raw Materials'!$C$2:$C$36))</f>
        <v>24.96</v>
      </c>
      <c r="G49" s="67"/>
      <c r="H49" s="49" cm="1">
        <f t="array" ref="H49">$D49*SUM(IF('Raw Materials'!$B$2:$B$36=$B49,'Raw Materials'!$C$2:$C$36))/SUM(IF('Raw Materials'!$B$2:$B$36=$B49,'Raw Materials'!$D$2:$D$36))</f>
        <v>8.3200000000000003E-5</v>
      </c>
      <c r="I49" s="67"/>
    </row>
    <row r="50" spans="1:9" x14ac:dyDescent="0.25">
      <c r="A50" s="75"/>
      <c r="B50" s="7" t="s">
        <v>16</v>
      </c>
      <c r="C50" s="12">
        <v>1.5</v>
      </c>
      <c r="D50" s="12">
        <f t="shared" si="0"/>
        <v>1.5</v>
      </c>
      <c r="E50" s="67"/>
      <c r="F50" s="36" cm="1">
        <f t="array" ref="F50">$D50*SUM(IF('Raw Materials'!$B$2:$B$36=$B50,'Raw Materials'!$C$2:$C$36))</f>
        <v>5.4</v>
      </c>
      <c r="G50" s="67"/>
      <c r="H50" s="49" cm="1">
        <f t="array" ref="H50">$D50*SUM(IF('Raw Materials'!$B$2:$B$36=$B50,'Raw Materials'!$C$2:$C$36))/SUM(IF('Raw Materials'!$B$2:$B$36=$B50,'Raw Materials'!$D$2:$D$36))</f>
        <v>1.6875000000000001E-4</v>
      </c>
      <c r="I50" s="67"/>
    </row>
    <row r="51" spans="1:9" x14ac:dyDescent="0.25">
      <c r="A51" s="75"/>
      <c r="B51" s="7" t="s">
        <v>17</v>
      </c>
      <c r="C51" s="12">
        <v>3420</v>
      </c>
      <c r="D51" s="12">
        <f t="shared" si="0"/>
        <v>3420</v>
      </c>
      <c r="E51" s="67"/>
      <c r="F51" s="36" cm="1">
        <f t="array" ref="F51">$D51*SUM(IF('Raw Materials'!$B$2:$B$36=$B51,'Raw Materials'!$C$2:$C$36))</f>
        <v>1710</v>
      </c>
      <c r="G51" s="67"/>
      <c r="H51" s="49" cm="1">
        <f t="array" ref="H51">$D51*SUM(IF('Raw Materials'!$B$2:$B$36=$B51,'Raw Materials'!$C$2:$C$36))/SUM(IF('Raw Materials'!$B$2:$B$36=$B51,'Raw Materials'!$D$2:$D$36))</f>
        <v>5.0294117647058827E-4</v>
      </c>
      <c r="I51" s="67"/>
    </row>
    <row r="52" spans="1:9" x14ac:dyDescent="0.25">
      <c r="A52" s="75"/>
      <c r="B52" s="7" t="s">
        <v>18</v>
      </c>
      <c r="C52" s="12">
        <v>0.50700000000000001</v>
      </c>
      <c r="D52" s="12">
        <f t="shared" si="0"/>
        <v>0.50700000000000001</v>
      </c>
      <c r="E52" s="67"/>
      <c r="F52" s="36" cm="1">
        <f t="array" ref="F52">$D52*SUM(IF('Raw Materials'!$B$2:$B$36=$B52,'Raw Materials'!$C$2:$C$36))</f>
        <v>2.2308000000000003</v>
      </c>
      <c r="G52" s="67"/>
      <c r="H52" s="49" cm="1">
        <f t="array" ref="H52">$D52*SUM(IF('Raw Materials'!$B$2:$B$36=$B52,'Raw Materials'!$C$2:$C$36))/SUM(IF('Raw Materials'!$B$2:$B$36=$B52,'Raw Materials'!$D$2:$D$36))</f>
        <v>1.8590000000000003E-5</v>
      </c>
      <c r="I52" s="67"/>
    </row>
    <row r="53" spans="1:9" x14ac:dyDescent="0.25">
      <c r="A53" s="75"/>
      <c r="B53" s="7" t="s">
        <v>19</v>
      </c>
      <c r="C53" s="12">
        <v>1.9199999999999998E-3</v>
      </c>
      <c r="D53" s="12">
        <f t="shared" si="0"/>
        <v>1.9199999999999998E-3</v>
      </c>
      <c r="E53" s="67"/>
      <c r="F53" s="36" cm="1">
        <f t="array" ref="F53">$D53*SUM(IF('Raw Materials'!$B$2:$B$36=$B53,'Raw Materials'!$C$2:$C$36))</f>
        <v>2.8799999999999997E-3</v>
      </c>
      <c r="G53" s="67"/>
      <c r="H53" s="49" cm="1">
        <f t="array" ref="H53">$D53*SUM(IF('Raw Materials'!$B$2:$B$36=$B53,'Raw Materials'!$C$2:$C$36))/SUM(IF('Raw Materials'!$B$2:$B$36=$B53,'Raw Materials'!$D$2:$D$36))</f>
        <v>1.3714285714285712E-5</v>
      </c>
      <c r="I53" s="67"/>
    </row>
    <row r="54" spans="1:9" x14ac:dyDescent="0.25">
      <c r="A54" s="75"/>
      <c r="B54" s="7" t="s">
        <v>20</v>
      </c>
      <c r="C54" s="12">
        <v>0.502</v>
      </c>
      <c r="D54" s="12">
        <f t="shared" si="0"/>
        <v>0.502</v>
      </c>
      <c r="E54" s="67"/>
      <c r="F54" s="36" cm="1">
        <f t="array" ref="F54">$D54*SUM(IF('Raw Materials'!$B$2:$B$36=$B54,'Raw Materials'!$C$2:$C$36))</f>
        <v>1.6064000000000001</v>
      </c>
      <c r="G54" s="67"/>
      <c r="H54" s="49" cm="1">
        <f t="array" ref="H54">$D54*SUM(IF('Raw Materials'!$B$2:$B$36=$B54,'Raw Materials'!$C$2:$C$36))/SUM(IF('Raw Materials'!$B$2:$B$36=$B54,'Raw Materials'!$D$2:$D$36))</f>
        <v>1.784888888888889E-4</v>
      </c>
      <c r="I54" s="67"/>
    </row>
    <row r="55" spans="1:9" x14ac:dyDescent="0.25">
      <c r="A55" s="75"/>
      <c r="B55" s="7" t="s">
        <v>21</v>
      </c>
      <c r="C55" s="12">
        <v>0.34699999999999998</v>
      </c>
      <c r="D55" s="12">
        <f t="shared" si="0"/>
        <v>0.34699999999999998</v>
      </c>
      <c r="E55" s="67"/>
      <c r="F55" s="36" cm="1">
        <f t="array" ref="F55">$D55*SUM(IF('Raw Materials'!$B$2:$B$36=$B55,'Raw Materials'!$C$2:$C$36))</f>
        <v>0.27760000000000001</v>
      </c>
      <c r="G55" s="67"/>
      <c r="H55" s="49" cm="1">
        <f t="array" ref="H55">$D55*SUM(IF('Raw Materials'!$B$2:$B$36=$B55,'Raw Materials'!$C$2:$C$36))/SUM(IF('Raw Materials'!$B$2:$B$36=$B55,'Raw Materials'!$D$2:$D$36))</f>
        <v>1.0281481481481482E-5</v>
      </c>
      <c r="I55" s="67"/>
    </row>
    <row r="56" spans="1:9" x14ac:dyDescent="0.25">
      <c r="A56" s="75"/>
      <c r="B56" s="7" t="s">
        <v>22</v>
      </c>
      <c r="C56" s="12">
        <v>3.8900000000000002E-3</v>
      </c>
      <c r="D56" s="12">
        <f t="shared" si="0"/>
        <v>3.8900000000000002E-3</v>
      </c>
      <c r="E56" s="67"/>
      <c r="F56" s="36" cm="1">
        <f t="array" ref="F56">$D56*SUM(IF('Raw Materials'!$B$2:$B$36=$B56,'Raw Materials'!$C$2:$C$36))</f>
        <v>5.0570000000000007E-3</v>
      </c>
      <c r="G56" s="67"/>
      <c r="H56" s="49" cm="1">
        <f t="array" ref="H56">$D56*SUM(IF('Raw Materials'!$B$2:$B$36=$B56,'Raw Materials'!$C$2:$C$36))/SUM(IF('Raw Materials'!$B$2:$B$36=$B56,'Raw Materials'!$D$2:$D$36))</f>
        <v>2.4080952380952384E-6</v>
      </c>
      <c r="I56" s="67"/>
    </row>
    <row r="57" spans="1:9" x14ac:dyDescent="0.25">
      <c r="A57" s="75"/>
      <c r="B57" s="7" t="s">
        <v>23</v>
      </c>
      <c r="C57" s="12">
        <v>6.4199999999999988E-5</v>
      </c>
      <c r="D57" s="12">
        <f t="shared" si="0"/>
        <v>6.4199999999999988E-5</v>
      </c>
      <c r="E57" s="67"/>
      <c r="F57" s="36" cm="1">
        <f t="array" ref="F57">$D57*SUM(IF('Raw Materials'!$B$2:$B$36=$B57,'Raw Materials'!$C$2:$C$36))</f>
        <v>3.1457999999999996E-4</v>
      </c>
      <c r="G57" s="67"/>
      <c r="H57" s="49" cm="1">
        <f t="array" ref="H57">$D57*SUM(IF('Raw Materials'!$B$2:$B$36=$B57,'Raw Materials'!$C$2:$C$36))/SUM(IF('Raw Materials'!$B$2:$B$36=$B57,'Raw Materials'!$D$2:$D$36))</f>
        <v>6.291599999999999E-7</v>
      </c>
      <c r="I57" s="67"/>
    </row>
    <row r="58" spans="1:9" x14ac:dyDescent="0.25">
      <c r="A58" s="75"/>
      <c r="B58" s="7" t="s">
        <v>24</v>
      </c>
      <c r="C58" s="12">
        <v>2.16E-3</v>
      </c>
      <c r="D58" s="12">
        <f t="shared" si="0"/>
        <v>2.16E-3</v>
      </c>
      <c r="E58" s="67"/>
      <c r="F58" s="36" cm="1">
        <f t="array" ref="F58">$D58*SUM(IF('Raw Materials'!$B$2:$B$36=$B58,'Raw Materials'!$C$2:$C$36))</f>
        <v>4.9679999999999993E-3</v>
      </c>
      <c r="G58" s="67"/>
      <c r="H58" s="49" cm="1">
        <f t="array" ref="H58">$D58*SUM(IF('Raw Materials'!$B$2:$B$36=$B58,'Raw Materials'!$C$2:$C$36))/SUM(IF('Raw Materials'!$B$2:$B$36=$B58,'Raw Materials'!$D$2:$D$36))</f>
        <v>4.5163636363636356E-8</v>
      </c>
      <c r="I58" s="67"/>
    </row>
    <row r="59" spans="1:9" x14ac:dyDescent="0.25">
      <c r="A59" s="76"/>
      <c r="B59" s="26" t="s">
        <v>25</v>
      </c>
      <c r="C59" s="33">
        <v>1.1899999999999999E-3</v>
      </c>
      <c r="D59" s="33">
        <f t="shared" si="0"/>
        <v>1.1899999999999999E-3</v>
      </c>
      <c r="E59" s="68"/>
      <c r="F59" s="38" cm="1">
        <f t="array" ref="F59">$D59*SUM(IF('Raw Materials'!$B$2:$B$36=$B59,'Raw Materials'!$C$2:$C$36))</f>
        <v>4.1649999999999994E-3</v>
      </c>
      <c r="G59" s="68"/>
      <c r="H59" s="50" cm="1">
        <f t="array" ref="H59">$D59*SUM(IF('Raw Materials'!$B$2:$B$36=$B59,'Raw Materials'!$C$2:$C$36))/SUM(IF('Raw Materials'!$B$2:$B$36=$B59,'Raw Materials'!$D$2:$D$36))</f>
        <v>3.7863636363636357E-7</v>
      </c>
      <c r="I59" s="68"/>
    </row>
  </sheetData>
  <mergeCells count="34">
    <mergeCell ref="A1:A2"/>
    <mergeCell ref="A3:A8"/>
    <mergeCell ref="A9:A19"/>
    <mergeCell ref="B1:C1"/>
    <mergeCell ref="A35:A59"/>
    <mergeCell ref="A20:A22"/>
    <mergeCell ref="A25:A26"/>
    <mergeCell ref="A32:A34"/>
    <mergeCell ref="A27:A31"/>
    <mergeCell ref="A23:A24"/>
    <mergeCell ref="E3:E8"/>
    <mergeCell ref="G3:G8"/>
    <mergeCell ref="I3:I8"/>
    <mergeCell ref="E9:E19"/>
    <mergeCell ref="G9:G19"/>
    <mergeCell ref="I9:I19"/>
    <mergeCell ref="E20:E22"/>
    <mergeCell ref="G20:G22"/>
    <mergeCell ref="I20:I22"/>
    <mergeCell ref="E25:E26"/>
    <mergeCell ref="G25:G26"/>
    <mergeCell ref="I25:I26"/>
    <mergeCell ref="E23:E24"/>
    <mergeCell ref="G23:G24"/>
    <mergeCell ref="I23:I24"/>
    <mergeCell ref="E35:E59"/>
    <mergeCell ref="G35:G59"/>
    <mergeCell ref="I35:I59"/>
    <mergeCell ref="E27:E31"/>
    <mergeCell ref="G27:G31"/>
    <mergeCell ref="I27:I31"/>
    <mergeCell ref="E32:E34"/>
    <mergeCell ref="G32:G34"/>
    <mergeCell ref="I32:I3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5390977A3D1A479AA4438FAF0D8A03" ma:contentTypeVersion="11" ma:contentTypeDescription="Creare un nuovo documento." ma:contentTypeScope="" ma:versionID="5fa848cfdb33fc3dcd75abb1720964f1">
  <xsd:schema xmlns:xsd="http://www.w3.org/2001/XMLSchema" xmlns:xs="http://www.w3.org/2001/XMLSchema" xmlns:p="http://schemas.microsoft.com/office/2006/metadata/properties" xmlns:ns2="a99a321e-0583-47b9-b27b-a0ab167367f9" targetNamespace="http://schemas.microsoft.com/office/2006/metadata/properties" ma:root="true" ma:fieldsID="41399e7da90ae13046f4fcc936b5458d" ns2:_="">
    <xsd:import namespace="a99a321e-0583-47b9-b27b-a0ab16736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a321e-0583-47b9-b27b-a0ab16736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9a321e-0583-47b9-b27b-a0ab167367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57FC0-2280-402B-9128-E229CB4892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9a321e-0583-47b9-b27b-a0ab167367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B46836-D503-4E7B-9BD4-D79A728B27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D06800-8D98-4FD9-B862-649B592EB2C8}">
  <ds:schemaRefs>
    <ds:schemaRef ds:uri="http://schemas.microsoft.com/office/2006/metadata/properties"/>
    <ds:schemaRef ds:uri="http://schemas.microsoft.com/office/infopath/2007/PartnerControls"/>
    <ds:schemaRef ds:uri="a99a321e-0583-47b9-b27b-a0ab167367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Supply Risk</vt:lpstr>
      <vt:lpstr>Raw Materials</vt:lpstr>
      <vt:lpstr>Cars</vt:lpstr>
      <vt:lpstr>Power Plants</vt:lpstr>
      <vt:lpstr>'Power Plants'!_ftnref1</vt:lpstr>
      <vt:lpstr>'Power Plants'!_Ref171844817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 Nicoli</dc:creator>
  <cp:lastModifiedBy>MAFFIODO RICCARDO VITTORIO</cp:lastModifiedBy>
  <dcterms:created xsi:type="dcterms:W3CDTF">2025-11-11T16:14:24Z</dcterms:created>
  <dcterms:modified xsi:type="dcterms:W3CDTF">2026-06-14T13:22:20Z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0x010100455390977A3D1A479AA4438FAF0D8A03</vt:lpwstr>
  </property>
  <property fmtid="{D5CDD505-2E9C-101B-9397-08002B2CF9AE}" pid="3" name="MediaServiceImageTags">
    <vt:lpwstr/>
  </property>
</Properties>
</file>
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iccardo\PoliTo\anno4\Models and scenarios\"/>
    </mc:Choice>
  </mc:AlternateContent>
  <xr:revisionPtr revIDLastSave="0" documentId="13_ncr:1_{BCE43D14-19CE-41DC-8F15-84AE72BBBEA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utput_CapacityByPeriodAndTech" sheetId="1" r:id="rId1"/>
    <sheet name="Output_VFlow_Out" sheetId="2" r:id="rId2"/>
    <sheet name="Output_Emiss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2" l="1" a="1"/>
  <c r="E38" i="2" a="1"/>
  <c r="E37" i="2" a="1"/>
  <c r="E36" i="2" a="1"/>
  <c r="E35" i="2" a="1"/>
  <c r="E34" i="2" a="1"/>
  <c r="E33" i="2" a="1"/>
  <c r="D38" i="1" a="1"/>
  <c r="D37" i="1" a="1"/>
  <c r="D36" i="1" a="1"/>
  <c r="D35" i="1" a="1"/>
  <c r="D34" i="1" a="1"/>
  <c r="D33" i="1" a="1"/>
  <c r="D39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<sst xmlns="http://schemas.openxmlformats.org/spreadsheetml/2006/main" count="413" uniqueCount="47">
  <si>
    <t>file</t>
  </si>
  <si>
    <t>scenario</t>
  </si>
  <si>
    <t>tech</t>
  </si>
  <si>
    <t>Power_Spain.sqlite</t>
  </si>
  <si>
    <t>Power_Spain</t>
  </si>
  <si>
    <t>ELC_BGS_E</t>
  </si>
  <si>
    <t>ELC_BGS_LAN_N</t>
  </si>
  <si>
    <t>ELC_BIO_CEN_E</t>
  </si>
  <si>
    <t>ELC_CHP_NGA_CC_N</t>
  </si>
  <si>
    <t>ELC_CHP_NGA_CC_P</t>
  </si>
  <si>
    <t>ELC_CHP_NGA_CP_N</t>
  </si>
  <si>
    <t>ELC_CHP_NGA_TAP_N</t>
  </si>
  <si>
    <t>ELC_CHP_NGA_TURB_N</t>
  </si>
  <si>
    <t>ELC_CHP_NGA_TURB_P</t>
  </si>
  <si>
    <t>ELC_COA_COND_E</t>
  </si>
  <si>
    <t>ELC_COA_STM_P</t>
  </si>
  <si>
    <t>ELC_DERGAS_CC_E</t>
  </si>
  <si>
    <t>ELC_HYD_E</t>
  </si>
  <si>
    <t>ELC_HYD_L10MW_E</t>
  </si>
  <si>
    <t>ELC_NGA_CC_E</t>
  </si>
  <si>
    <t>ELC_NGA_CC_N</t>
  </si>
  <si>
    <t>ELC_NGA_CT_N</t>
  </si>
  <si>
    <t>ELC_NGA_E</t>
  </si>
  <si>
    <t>ELC_NGA_OIL_STM_E</t>
  </si>
  <si>
    <t>ELC_NGA_OIL_STM_N</t>
  </si>
  <si>
    <t>ELC_NUC_LWR_E</t>
  </si>
  <si>
    <t>ELC_PV_GRO_CNT_N</t>
  </si>
  <si>
    <t>ELC_PV_GRO_NRD_N</t>
  </si>
  <si>
    <t>ELC_PV_GRO_SUD_N</t>
  </si>
  <si>
    <t>ELC_SOL_E</t>
  </si>
  <si>
    <t>ELC_WIN_E</t>
  </si>
  <si>
    <t>ELC_WIN_P</t>
  </si>
  <si>
    <t>STG_ELC_HYD_PUM_E</t>
  </si>
  <si>
    <t>output_comm</t>
  </si>
  <si>
    <t>ELC_DST</t>
  </si>
  <si>
    <t>ELC_CEN</t>
  </si>
  <si>
    <t>emissions_comm</t>
  </si>
  <si>
    <t>ELC_CH4</t>
  </si>
  <si>
    <t>ELC_N2O</t>
  </si>
  <si>
    <t>ELC_CO2</t>
  </si>
  <si>
    <t>Biogas</t>
  </si>
  <si>
    <t>Natural gas</t>
  </si>
  <si>
    <t>Solar</t>
  </si>
  <si>
    <t>Wind</t>
  </si>
  <si>
    <t>Nuclear</t>
  </si>
  <si>
    <t>Coal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</si>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</sst>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Output_CapacityByPeriodAndTech!$C$39</c:f>
              <c:strCache>
                <c:ptCount val="1"/>
                <c:pt idx="0">
                  <c:v>Nuclear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Output_CapacityByPeriodAndTech!$N$1:$S$1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Output_CapacityByPeriodAndTech!$N$39:$S$39</c:f>
              <c:numCache>
                <c:formatCode>General</c:formatCode>
                <c:ptCount val="6"/>
                <c:pt idx="0">
                  <c:v>7.8740052312157616</c:v>
                </c:pt>
                <c:pt idx="1">
                  <c:v>7.8740052312157616</c:v>
                </c:pt>
                <c:pt idx="2">
                  <c:v>7.8740052312157616</c:v>
                </c:pt>
                <c:pt idx="3">
                  <c:v>7.8740052312157616</c:v>
                </c:pt>
                <c:pt idx="4">
                  <c:v>4.718492466933343</c:v>
                </c:pt>
                <c:pt idx="5">
                  <c:v>4.6876526468880266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0D-4E73-9AD8-0E407ED7D442}"/>
            </c:ext>
          </c:extLst>
        </c:ser>
        <c:ser>
          <c:idx val="1"/>
          <c:order val="1"/>
          <c:tx>
            <c:strRef>
              <c:f>Output_CapacityByPeriodAndTech!$C$33</c:f>
              <c:strCache>
                <c:ptCount val="1"/>
                <c:pt idx="0">
                  <c:v>Biogas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Output_CapacityByPeriodAndTech!$N$1:$S$1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Output_CapacityByPeriodAndTech!$N$33:$S$33</c:f>
              <c:numCache>
                <c:formatCode>General</c:formatCode>
                <c:ptCount val="6"/>
                <c:pt idx="0">
                  <c:v>0.87543281312130117</c:v>
                </c:pt>
                <c:pt idx="1">
                  <c:v>0.87543281312130117</c:v>
                </c:pt>
                <c:pt idx="2">
                  <c:v>0.87543281312130117</c:v>
                </c:pt>
                <c:pt idx="3">
                  <c:v>0.87543281312130117</c:v>
                </c:pt>
                <c:pt idx="4">
                  <c:v>0.34106855612363141</c:v>
                </c:pt>
                <c:pt idx="5">
                  <c:v>1.75441870803952E-2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0D-4E73-9AD8-0E407ED7D442}"/>
            </c:ext>
          </c:extLst>
        </c:ser>
        <c:ser>
          <c:idx val="2"/>
          <c:order val="2"/>
          <c:tx>
            <c:strRef>
              <c:f>Output_CapacityByPeriodAndTech!$C$34</c:f>
              <c:strCache>
                <c:ptCount val="1"/>
                <c:pt idx="0">
                  <c:v>Natural gas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Output_CapacityByPeriodAndTech!$N$1:$S$1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Output_CapacityByPeriodAndTech!$N$34:$S$34</c:f>
              <c:numCache>
                <c:formatCode>General</c:formatCode>
                <c:ptCount val="6"/>
                <c:pt idx="0">
                  <c:v>22.957000000000001</c:v>
                </c:pt>
                <c:pt idx="1">
                  <c:v>22.957000000000001</c:v>
                </c:pt>
                <c:pt idx="2">
                  <c:v>22.957000000000001</c:v>
                </c:pt>
                <c:pt idx="3">
                  <c:v>22.957000000000001</c:v>
                </c:pt>
                <c:pt idx="4">
                  <c:v>4.5914000000000001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0D-4E73-9AD8-0E407ED7D442}"/>
            </c:ext>
          </c:extLst>
        </c:ser>
        <c:ser>
          <c:idx val="3"/>
          <c:order val="3"/>
          <c:tx>
            <c:strRef>
              <c:f>Output_CapacityByPeriodAndTech!$C$35</c:f>
              <c:strCache>
                <c:ptCount val="1"/>
                <c:pt idx="0">
                  <c:v>Solar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Output_CapacityByPeriodAndTech!$N$1:$S$1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Output_CapacityByPeriodAndTech!$N$35:$S$35</c:f>
              <c:numCache>
                <c:formatCode>General</c:formatCode>
                <c:ptCount val="6"/>
                <c:pt idx="0">
                  <c:v>0.76212092436800227</c:v>
                </c:pt>
                <c:pt idx="1">
                  <c:v>0.76212092436800227</c:v>
                </c:pt>
                <c:pt idx="2">
                  <c:v>0.76212092436800227</c:v>
                </c:pt>
                <c:pt idx="3">
                  <c:v>0.76212092436800227</c:v>
                </c:pt>
                <c:pt idx="4">
                  <c:v>0.36865759542658988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0D-4E73-9AD8-0E407ED7D442}"/>
            </c:ext>
          </c:extLst>
        </c:ser>
        <c:ser>
          <c:idx val="4"/>
          <c:order val="4"/>
          <c:tx>
            <c:strRef>
              <c:f>Output_CapacityByPeriodAndTech!$C$36</c:f>
              <c:strCache>
                <c:ptCount val="1"/>
                <c:pt idx="0">
                  <c:v>Wind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Output_CapacityByPeriodAndTech!$N$1:$S$1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Output_CapacityByPeriodAndTech!$N$36:$S$36</c:f>
              <c:numCache>
                <c:formatCode>General</c:formatCode>
                <c:ptCount val="6"/>
                <c:pt idx="0">
                  <c:v>12.649264959504411</c:v>
                </c:pt>
                <c:pt idx="1">
                  <c:v>10.26559080584113</c:v>
                </c:pt>
                <c:pt idx="2">
                  <c:v>10.26559080584113</c:v>
                </c:pt>
                <c:pt idx="3">
                  <c:v>7.9979701744835801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0D-4E73-9AD8-0E407ED7D442}"/>
            </c:ext>
          </c:extLst>
        </c:ser>
        <c:ser>
          <c:idx val="5"/>
          <c:order val="5"/>
          <c:tx>
            <c:strRef>
              <c:f>Output_CapacityByPeriodAndTech!$C$37</c:f>
              <c:strCache>
                <c:ptCount val="1"/>
                <c:pt idx="0">
                  <c:v>Coal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Output_CapacityByPeriodAndTech!$N$1:$S$1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Output_CapacityByPeriodAndTech!$N$37:$S$37</c:f>
              <c:numCache>
                <c:formatCode>General</c:formatCode>
                <c:ptCount val="6"/>
                <c:pt idx="0">
                  <c:v>11.212999999999999</c:v>
                </c:pt>
                <c:pt idx="1">
                  <c:v>11.212999999999999</c:v>
                </c:pt>
                <c:pt idx="2">
                  <c:v>11.212999999999999</c:v>
                </c:pt>
                <c:pt idx="3">
                  <c:v>11.212999999999999</c:v>
                </c:pt>
                <c:pt idx="4">
                  <c:v>2.2425999999999999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0D-4E73-9AD8-0E407ED7D442}"/>
            </c:ext>
          </c:extLst>
        </c:ser>
        <c:ser>
          <c:idx val="6"/>
          <c:order val="6"/>
          <c:tx>
            <c:strRef>
              <c:f>Output_CapacityByPeriodAndTech!$C$38</c:f>
              <c:strCache>
                <c:ptCount val="1"/>
                <c:pt idx="0">
                  <c:v>Oil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Output_CapacityByPeriodAndTech!$N$1:$S$1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Output_CapacityByPeriodAndTech!$N$38:$S$38</c:f>
              <c:numCache>
                <c:formatCode>General</c:formatCode>
                <c:ptCount val="6"/>
                <c:pt idx="0">
                  <c:v>8.3149999999999995</c:v>
                </c:pt>
                <c:pt idx="1">
                  <c:v>8.3149999999999995</c:v>
                </c:pt>
                <c:pt idx="2">
                  <c:v>8.3149999999999995</c:v>
                </c:pt>
                <c:pt idx="3">
                  <c:v>8.3149999999999995</c:v>
                </c:pt>
                <c:pt idx="4">
                  <c:v>1.663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0D-4E73-9AD8-0E407ED7D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270831"/>
        <c:axId val="1284271791"/>
      </c:lineChart>
      <c:catAx>
        <c:axId val="1284270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84271791"/>
        <c:crosses val="autoZero"/>
        <c:auto val="1"/>
        <c:lblAlgn val="ctr"/>
        <c:lblOffset val="100"/>
        <c:noMultiLvlLbl val="0"/>
      </c:catAx>
      <c:valAx>
        <c:axId val="128427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Installed capacity (GW)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8427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Output_VFlow_Out!$D$32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Output_VFlow_Out!$N$1:$T$1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Output_VFlow_Out!$N$32:$T$32</c:f>
              <c:numCache>
                <c:formatCode>General</c:formatCode>
                <c:ptCount val="7"/>
                <c:pt idx="0">
                  <c:v>215.94100000000009</c:v>
                </c:pt>
                <c:pt idx="1">
                  <c:v>202.70083333333341</c:v>
                </c:pt>
                <c:pt idx="2">
                  <c:v>136.5</c:v>
                </c:pt>
                <c:pt idx="3">
                  <c:v>135.625</c:v>
                </c:pt>
                <c:pt idx="4">
                  <c:v>134.75</c:v>
                </c:pt>
                <c:pt idx="5">
                  <c:v>133.875</c:v>
                </c:pt>
                <c:pt idx="6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D-403C-8241-16D032026213}"/>
            </c:ext>
          </c:extLst>
        </c:ser>
        <c:ser>
          <c:idx val="1"/>
          <c:order val="1"/>
          <c:tx>
            <c:strRef>
              <c:f>Output_VFlow_Out!$D$33</c:f>
              <c:strCache>
                <c:ptCount val="1"/>
                <c:pt idx="0">
                  <c:v>Biogas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dash"/>
            </a:ln>
            <a:effectLst/>
          </c:spPr>
          <c:dPt>
            <c:idx val="2"/>
            <c:bubble3D val="0"/>
            <c:spPr>
              <a:solidFill>
                <a:schemeClr val="accent2"/>
              </a:solidFill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1637-4A8B-ADC9-B42A080B58CD}"/>
              </c:ext>
            </c:extLst>
          </c:dPt>
          <c:cat>
            <c:numRef>
              <c:f>Output_VFlow_Out!$N$1:$T$1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Output_VFlow_Out!$N$33:$T$33</c:f>
              <c:numCache>
                <c:formatCode>General</c:formatCode>
                <c:ptCount val="7"/>
                <c:pt idx="0">
                  <c:v>10.67823627906977</c:v>
                </c:pt>
                <c:pt idx="1">
                  <c:v>10.267534883720932</c:v>
                </c:pt>
                <c:pt idx="2">
                  <c:v>8.2140279069767423</c:v>
                </c:pt>
                <c:pt idx="3">
                  <c:v>6.1605209302325594</c:v>
                </c:pt>
                <c:pt idx="4">
                  <c:v>4.1070139534883729</c:v>
                </c:pt>
                <c:pt idx="5">
                  <c:v>2.0535069767441865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5D-403C-8241-16D032026213}"/>
            </c:ext>
          </c:extLst>
        </c:ser>
        <c:ser>
          <c:idx val="2"/>
          <c:order val="2"/>
          <c:tx>
            <c:strRef>
              <c:f>Output_VFlow_Out!$D$34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Output_VFlow_Out!$N$1:$T$1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Output_VFlow_Out!$N$34:$T$34</c:f>
              <c:numCache>
                <c:formatCode>General</c:formatCode>
                <c:ptCount val="7"/>
                <c:pt idx="0">
                  <c:v>144.39798261264659</c:v>
                </c:pt>
                <c:pt idx="1">
                  <c:v>150.9254978651995</c:v>
                </c:pt>
                <c:pt idx="2">
                  <c:v>136.9639618498347</c:v>
                </c:pt>
                <c:pt idx="3">
                  <c:v>124.21</c:v>
                </c:pt>
                <c:pt idx="4">
                  <c:v>27.2</c:v>
                </c:pt>
                <c:pt idx="5">
                  <c:v>16.100000000000001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5D-403C-8241-16D032026213}"/>
            </c:ext>
          </c:extLst>
        </c:ser>
        <c:ser>
          <c:idx val="3"/>
          <c:order val="3"/>
          <c:tx>
            <c:strRef>
              <c:f>Output_VFlow_Out!$D$35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dash"/>
            </a:ln>
            <a:effectLst/>
          </c:spPr>
          <c:cat>
            <c:numRef>
              <c:f>Output_VFlow_Out!$N$1:$T$1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Output_VFlow_Out!$N$35:$T$35</c:f>
              <c:numCache>
                <c:formatCode>General</c:formatCode>
                <c:ptCount val="7"/>
                <c:pt idx="0">
                  <c:v>3.6792000000000011</c:v>
                </c:pt>
                <c:pt idx="1">
                  <c:v>3.5320320000000009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5D-403C-8241-16D032026213}"/>
            </c:ext>
          </c:extLst>
        </c:ser>
        <c:ser>
          <c:idx val="4"/>
          <c:order val="4"/>
          <c:tx>
            <c:strRef>
              <c:f>Output_VFlow_Out!$D$36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Output_VFlow_Out!$N$1:$T$1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Output_VFlow_Out!$N$36:$T$36</c:f>
              <c:numCache>
                <c:formatCode>General</c:formatCode>
                <c:ptCount val="7"/>
                <c:pt idx="0">
                  <c:v>91.374535654133126</c:v>
                </c:pt>
                <c:pt idx="1">
                  <c:v>84.523832888284062</c:v>
                </c:pt>
                <c:pt idx="2">
                  <c:v>68.595850000000056</c:v>
                </c:pt>
                <c:pt idx="3">
                  <c:v>68.595850000000027</c:v>
                </c:pt>
                <c:pt idx="4">
                  <c:v>53.443350000000009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5D-403C-8241-16D032026213}"/>
            </c:ext>
          </c:extLst>
        </c:ser>
        <c:ser>
          <c:idx val="5"/>
          <c:order val="5"/>
          <c:tx>
            <c:strRef>
              <c:f>Output_VFlow_Out!$D$37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dash"/>
            </a:ln>
            <a:effectLst/>
          </c:spPr>
          <c:cat>
            <c:numRef>
              <c:f>Output_VFlow_Out!$N$1:$T$1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Output_VFlow_Out!$N$37:$T$37</c:f>
              <c:numCache>
                <c:formatCode>General</c:formatCode>
                <c:ptCount val="7"/>
                <c:pt idx="0">
                  <c:v>4.7310000000000034</c:v>
                </c:pt>
                <c:pt idx="1">
                  <c:v>3.071666666666673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5D-403C-8241-16D032026213}"/>
            </c:ext>
          </c:extLst>
        </c:ser>
        <c:ser>
          <c:idx val="6"/>
          <c:order val="6"/>
          <c:tx>
            <c:strRef>
              <c:f>Output_VFlow_Out!$D$38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dashDot"/>
            </a:ln>
            <a:effectLst/>
          </c:spPr>
          <c:cat>
            <c:numRef>
              <c:f>Output_VFlow_Out!$N$1:$T$1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Output_VFlow_Out!$N$38:$T$38</c:f>
              <c:numCache>
                <c:formatCode>General</c:formatCode>
                <c:ptCount val="7"/>
                <c:pt idx="0">
                  <c:v>30.513999999999999</c:v>
                </c:pt>
                <c:pt idx="1">
                  <c:v>27.01166666666667</c:v>
                </c:pt>
                <c:pt idx="2">
                  <c:v>9.5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5D-403C-8241-16D032026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299631"/>
        <c:axId val="1284316431"/>
      </c:areaChart>
      <c:catAx>
        <c:axId val="1284299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84316431"/>
        <c:crosses val="autoZero"/>
        <c:auto val="1"/>
        <c:lblAlgn val="ctr"/>
        <c:lblOffset val="100"/>
        <c:noMultiLvlLbl val="0"/>
      </c:catAx>
      <c:valAx>
        <c:axId val="128431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Production (PJ)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84299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419100</xdr:colOff>
      <xdr:row>11</xdr:row>
      <xdr:rowOff>42862</xdr:rowOff>
    </xdr:from>
    <xdr:to>
      <xdr:col>22</xdr:col>
      <xdr:colOff>371475</xdr:colOff>
      <xdr:row>30</xdr:row>
      <xdr:rowOff>152400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687763F-E8E4-1E59-C66D-25E809EB5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40</xdr:row>
      <xdr:rowOff>71436</xdr:rowOff>
    </xdr:from>
    <xdr:to>
      <xdr:col>17</xdr:col>
      <xdr:colOff>485775</xdr:colOff>
      <xdr:row>59</xdr:row>
      <xdr:rowOff>152399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9D02FDE-2F81-56B9-B8B2-F66978E8C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workbookViewId="0">
      <selection activeCell="C33" sqref="C33:S39"/>
    </sheetView>
  </sheetViews>
  <sheetFormatPr defaultRowHeight="15" x14ac:dyDescent="0.25"/>
  <cols>
    <col min="3" max="3" width="22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>
        <v>2007</v>
      </c>
      <c r="E1" s="1">
        <v>2008</v>
      </c>
      <c r="F1" s="1">
        <v>2010</v>
      </c>
      <c r="G1" s="1">
        <v>2012</v>
      </c>
      <c r="H1" s="1">
        <v>2014</v>
      </c>
      <c r="I1" s="1">
        <v>2016</v>
      </c>
      <c r="J1" s="1">
        <v>2018</v>
      </c>
      <c r="K1" s="1">
        <v>2020</v>
      </c>
      <c r="L1" s="1">
        <v>2022</v>
      </c>
      <c r="M1" s="1">
        <v>2024</v>
      </c>
      <c r="N1" s="1">
        <v>2025</v>
      </c>
      <c r="O1" s="1">
        <v>2030</v>
      </c>
      <c r="P1" s="1">
        <v>2035</v>
      </c>
      <c r="Q1" s="1">
        <v>2040</v>
      </c>
      <c r="R1" s="1">
        <v>2045</v>
      </c>
      <c r="S1" s="1">
        <v>2050</v>
      </c>
    </row>
    <row r="2" spans="1:19" x14ac:dyDescent="0.25">
      <c r="A2" t="s">
        <v>3</v>
      </c>
      <c r="B2" t="s">
        <v>4</v>
      </c>
      <c r="C2" t="s">
        <v>5</v>
      </c>
      <c r="D2">
        <v>0.29194042832944961</v>
      </c>
      <c r="E2">
        <v>0.29194042832944961</v>
      </c>
      <c r="F2">
        <v>0.29194042832944961</v>
      </c>
      <c r="G2">
        <v>0.29194042832944961</v>
      </c>
      <c r="H2">
        <v>0.29194042832944961</v>
      </c>
      <c r="I2">
        <v>0.29194042832944961</v>
      </c>
      <c r="J2">
        <v>0.29194042832944961</v>
      </c>
      <c r="K2">
        <v>0.29194042832944961</v>
      </c>
      <c r="L2">
        <v>0.29194042832944961</v>
      </c>
      <c r="M2">
        <v>0.29194042832944961</v>
      </c>
      <c r="N2">
        <v>0.29194042832944961</v>
      </c>
      <c r="O2">
        <v>0.29194042832944961</v>
      </c>
      <c r="P2">
        <v>0.29194042832944961</v>
      </c>
      <c r="Q2">
        <v>0.29194042832944961</v>
      </c>
      <c r="R2">
        <v>8.4776171331779809E-2</v>
      </c>
      <c r="S2">
        <v>0</v>
      </c>
    </row>
    <row r="3" spans="1:19" x14ac:dyDescent="0.25">
      <c r="A3" t="s">
        <v>3</v>
      </c>
      <c r="B3" t="s">
        <v>4</v>
      </c>
      <c r="C3" t="s">
        <v>6</v>
      </c>
      <c r="D3">
        <v>0</v>
      </c>
      <c r="E3">
        <v>0</v>
      </c>
      <c r="F3">
        <v>0</v>
      </c>
      <c r="G3">
        <v>0</v>
      </c>
      <c r="H3">
        <v>0.1156140475741613</v>
      </c>
      <c r="I3">
        <v>0.18450410748314219</v>
      </c>
      <c r="J3">
        <v>0.2765267107956052</v>
      </c>
      <c r="K3">
        <v>0.56807295498092103</v>
      </c>
      <c r="L3">
        <v>0.51872766925694991</v>
      </c>
      <c r="M3">
        <v>0.49589105403725942</v>
      </c>
      <c r="N3">
        <v>0.54435729750420281</v>
      </c>
      <c r="O3">
        <v>0.84349020169565192</v>
      </c>
      <c r="P3">
        <v>1.0029765729349771</v>
      </c>
      <c r="Q3">
        <v>1.1151539297075539</v>
      </c>
      <c r="R3">
        <v>1.2751117337514091</v>
      </c>
      <c r="S3">
        <v>1.50685402533556</v>
      </c>
    </row>
    <row r="4" spans="1:19" x14ac:dyDescent="0.25">
      <c r="A4" t="s">
        <v>3</v>
      </c>
      <c r="B4" t="s">
        <v>4</v>
      </c>
      <c r="C4" t="s">
        <v>7</v>
      </c>
      <c r="D4">
        <v>0.40899999999999997</v>
      </c>
      <c r="E4">
        <v>0.40899999999999997</v>
      </c>
      <c r="F4">
        <v>0.4957714493898755</v>
      </c>
      <c r="G4">
        <v>0.5834923847918515</v>
      </c>
      <c r="H4">
        <v>0.5834923847918515</v>
      </c>
      <c r="I4">
        <v>0.5834923847918515</v>
      </c>
      <c r="J4">
        <v>0.5834923847918515</v>
      </c>
      <c r="K4">
        <v>0.5834923847918515</v>
      </c>
      <c r="L4">
        <v>0.5834923847918515</v>
      </c>
      <c r="M4">
        <v>0.5834923847918515</v>
      </c>
      <c r="N4">
        <v>0.5834923847918515</v>
      </c>
      <c r="O4">
        <v>0.5834923847918515</v>
      </c>
      <c r="P4">
        <v>0.5834923847918515</v>
      </c>
      <c r="Q4">
        <v>0.5834923847918515</v>
      </c>
      <c r="R4">
        <v>0.25629238479185162</v>
      </c>
      <c r="S4">
        <v>1.75441870803952E-2</v>
      </c>
    </row>
    <row r="5" spans="1:19" x14ac:dyDescent="0.25">
      <c r="A5" t="s">
        <v>3</v>
      </c>
      <c r="B5" t="s">
        <v>4</v>
      </c>
      <c r="C5" t="s">
        <v>8</v>
      </c>
      <c r="D5">
        <v>0</v>
      </c>
      <c r="E5">
        <v>0</v>
      </c>
      <c r="F5">
        <v>0</v>
      </c>
      <c r="G5">
        <v>0</v>
      </c>
      <c r="H5">
        <v>0.26666666666666672</v>
      </c>
      <c r="I5">
        <v>0.4</v>
      </c>
      <c r="J5">
        <v>0.4</v>
      </c>
      <c r="K5">
        <v>0.66666666666666663</v>
      </c>
      <c r="L5">
        <v>0.8</v>
      </c>
      <c r="M5">
        <v>0.93333333333333335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25">
      <c r="A6" t="s">
        <v>3</v>
      </c>
      <c r="B6" t="s">
        <v>4</v>
      </c>
      <c r="C6" t="s">
        <v>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2</v>
      </c>
      <c r="Q6">
        <v>2</v>
      </c>
      <c r="R6">
        <v>2</v>
      </c>
      <c r="S6">
        <v>1</v>
      </c>
    </row>
    <row r="7" spans="1:19" x14ac:dyDescent="0.25">
      <c r="A7" t="s">
        <v>3</v>
      </c>
      <c r="B7" t="s">
        <v>4</v>
      </c>
      <c r="C7" t="s">
        <v>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0.66666666666666663</v>
      </c>
      <c r="L7">
        <v>0.8</v>
      </c>
      <c r="M7">
        <v>0.93333333333333335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 x14ac:dyDescent="0.25">
      <c r="A8" t="s">
        <v>3</v>
      </c>
      <c r="B8" t="s">
        <v>4</v>
      </c>
      <c r="C8" t="s">
        <v>11</v>
      </c>
      <c r="D8">
        <v>0</v>
      </c>
      <c r="E8">
        <v>0.86487333776201158</v>
      </c>
      <c r="F8">
        <v>0.86487333776201158</v>
      </c>
      <c r="G8">
        <v>0.86487333776201158</v>
      </c>
      <c r="H8">
        <v>0.86487333776201158</v>
      </c>
      <c r="I8">
        <v>0.86487333776201158</v>
      </c>
      <c r="J8">
        <v>0.86487333776201158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5">
      <c r="A9" t="s">
        <v>3</v>
      </c>
      <c r="B9" t="s">
        <v>4</v>
      </c>
      <c r="C9" t="s">
        <v>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3.0353947493695581</v>
      </c>
      <c r="P9">
        <v>3.0353947493695581</v>
      </c>
      <c r="Q9">
        <v>6.9490644999034661</v>
      </c>
      <c r="R9">
        <v>6.9490644999034661</v>
      </c>
      <c r="S9">
        <v>5.4313671252186868</v>
      </c>
    </row>
    <row r="10" spans="1:19" x14ac:dyDescent="0.25">
      <c r="A10" t="s">
        <v>3</v>
      </c>
      <c r="B10" t="s">
        <v>4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0.71223143972782488</v>
      </c>
      <c r="Q10">
        <v>2.0356010241902829</v>
      </c>
      <c r="R10">
        <v>2.0356010241902829</v>
      </c>
      <c r="S10">
        <v>2.0356010241902829</v>
      </c>
    </row>
    <row r="11" spans="1:19" x14ac:dyDescent="0.25">
      <c r="A11" t="s">
        <v>3</v>
      </c>
      <c r="B11" t="s">
        <v>4</v>
      </c>
      <c r="C11" t="s">
        <v>14</v>
      </c>
      <c r="D11">
        <v>11.212999999999999</v>
      </c>
      <c r="E11">
        <v>11.212999999999999</v>
      </c>
      <c r="F11">
        <v>11.212999999999999</v>
      </c>
      <c r="G11">
        <v>11.212999999999999</v>
      </c>
      <c r="H11">
        <v>11.212999999999999</v>
      </c>
      <c r="I11">
        <v>11.212999999999999</v>
      </c>
      <c r="J11">
        <v>11.212999999999999</v>
      </c>
      <c r="K11">
        <v>11.212999999999999</v>
      </c>
      <c r="L11">
        <v>11.212999999999999</v>
      </c>
      <c r="M11">
        <v>11.212999999999999</v>
      </c>
      <c r="N11">
        <v>11.212999999999999</v>
      </c>
      <c r="O11">
        <v>11.212999999999999</v>
      </c>
      <c r="P11">
        <v>11.212999999999999</v>
      </c>
      <c r="Q11">
        <v>11.212999999999999</v>
      </c>
      <c r="R11">
        <v>2.2425999999999999</v>
      </c>
      <c r="S11">
        <v>0</v>
      </c>
    </row>
    <row r="12" spans="1:19" x14ac:dyDescent="0.25">
      <c r="A12" t="s">
        <v>3</v>
      </c>
      <c r="B12" t="s">
        <v>4</v>
      </c>
      <c r="C12" t="s">
        <v>15</v>
      </c>
      <c r="D12">
        <v>0</v>
      </c>
      <c r="E12">
        <v>0.1069603282524054</v>
      </c>
      <c r="F12">
        <v>0.1069603282524054</v>
      </c>
      <c r="G12">
        <v>0.2113432991975239</v>
      </c>
      <c r="H12">
        <v>0.2113432991975239</v>
      </c>
      <c r="I12">
        <v>0.3132702002380513</v>
      </c>
      <c r="J12">
        <v>0.3132702002380513</v>
      </c>
      <c r="K12">
        <v>0.3132702002380513</v>
      </c>
      <c r="L12">
        <v>0.3132702002380513</v>
      </c>
      <c r="M12">
        <v>0.3132702002380513</v>
      </c>
      <c r="N12">
        <v>0.3132702002380513</v>
      </c>
      <c r="O12">
        <v>0.3132702002380513</v>
      </c>
      <c r="P12">
        <v>0.27048606893708921</v>
      </c>
      <c r="Q12">
        <v>0.14368008941857491</v>
      </c>
      <c r="R12">
        <v>2.0385380208105489E-2</v>
      </c>
      <c r="S12">
        <v>0</v>
      </c>
    </row>
    <row r="13" spans="1:19" x14ac:dyDescent="0.25">
      <c r="A13" t="s">
        <v>3</v>
      </c>
      <c r="B13" t="s">
        <v>4</v>
      </c>
      <c r="C13" t="s">
        <v>16</v>
      </c>
      <c r="D13">
        <v>0.53100000000000003</v>
      </c>
      <c r="E13">
        <v>0.53100000000000003</v>
      </c>
      <c r="F13">
        <v>0.53100000000000003</v>
      </c>
      <c r="G13">
        <v>0.53100000000000003</v>
      </c>
      <c r="H13">
        <v>0.53100000000000003</v>
      </c>
      <c r="I13">
        <v>0.53100000000000003</v>
      </c>
      <c r="J13">
        <v>0.53100000000000003</v>
      </c>
      <c r="K13">
        <v>0.53100000000000003</v>
      </c>
      <c r="L13">
        <v>0.53100000000000003</v>
      </c>
      <c r="M13">
        <v>0.53100000000000003</v>
      </c>
      <c r="N13">
        <v>0.53100000000000003</v>
      </c>
      <c r="O13">
        <v>0.53100000000000003</v>
      </c>
      <c r="P13">
        <v>0.53100000000000003</v>
      </c>
      <c r="Q13">
        <v>0.53100000000000003</v>
      </c>
      <c r="R13">
        <v>0.1062</v>
      </c>
      <c r="S13">
        <v>0</v>
      </c>
    </row>
    <row r="14" spans="1:19" x14ac:dyDescent="0.25">
      <c r="A14" t="s">
        <v>3</v>
      </c>
      <c r="B14" t="s">
        <v>4</v>
      </c>
      <c r="C14" t="s">
        <v>17</v>
      </c>
      <c r="D14">
        <v>16.658000000000001</v>
      </c>
      <c r="E14">
        <v>16.658000000000001</v>
      </c>
      <c r="F14">
        <v>17.449768728899901</v>
      </c>
      <c r="G14">
        <v>17.449768728899901</v>
      </c>
      <c r="H14">
        <v>17.449768728899901</v>
      </c>
      <c r="I14">
        <v>17.449768728899901</v>
      </c>
      <c r="J14">
        <v>17.449768728899901</v>
      </c>
      <c r="K14">
        <v>17.449768728899901</v>
      </c>
      <c r="L14">
        <v>17.449768728899901</v>
      </c>
      <c r="M14">
        <v>17.449768728899901</v>
      </c>
      <c r="N14">
        <v>17.449768728899901</v>
      </c>
      <c r="O14">
        <v>28.954526813881468</v>
      </c>
      <c r="P14">
        <v>29.435589850999271</v>
      </c>
      <c r="Q14">
        <v>31.367360989603561</v>
      </c>
      <c r="R14">
        <v>32.088926898345903</v>
      </c>
      <c r="S14">
        <v>27.965558169445998</v>
      </c>
    </row>
    <row r="15" spans="1:19" x14ac:dyDescent="0.25">
      <c r="A15" t="s">
        <v>3</v>
      </c>
      <c r="B15" t="s">
        <v>4</v>
      </c>
      <c r="C15" t="s">
        <v>18</v>
      </c>
      <c r="D15">
        <v>1.8089999999999999</v>
      </c>
      <c r="E15">
        <v>1.8089999999999999</v>
      </c>
      <c r="F15">
        <v>2.4098691859025769</v>
      </c>
      <c r="G15">
        <v>2.4098691859025769</v>
      </c>
      <c r="H15">
        <v>2.4098691859025769</v>
      </c>
      <c r="I15">
        <v>2.4098691859025769</v>
      </c>
      <c r="J15">
        <v>2.4098691859025769</v>
      </c>
      <c r="K15">
        <v>2.4098691859025769</v>
      </c>
      <c r="L15">
        <v>2.4098691859025769</v>
      </c>
      <c r="M15">
        <v>5.5337701559204886</v>
      </c>
      <c r="N15">
        <v>8.8193088325660014</v>
      </c>
      <c r="O15">
        <v>9.0031768159553955</v>
      </c>
      <c r="P15">
        <v>9.0031768159553955</v>
      </c>
      <c r="Q15">
        <v>9.0031768159553955</v>
      </c>
      <c r="R15">
        <v>7.5559768159553951</v>
      </c>
      <c r="S15">
        <v>6.5933076300528182</v>
      </c>
    </row>
    <row r="16" spans="1:19" x14ac:dyDescent="0.25">
      <c r="A16" t="s">
        <v>3</v>
      </c>
      <c r="B16" t="s">
        <v>4</v>
      </c>
      <c r="C16" t="s">
        <v>19</v>
      </c>
      <c r="D16">
        <v>16.41</v>
      </c>
      <c r="E16">
        <v>16.41</v>
      </c>
      <c r="F16">
        <v>16.41</v>
      </c>
      <c r="G16">
        <v>16.41</v>
      </c>
      <c r="H16">
        <v>16.41</v>
      </c>
      <c r="I16">
        <v>16.41</v>
      </c>
      <c r="J16">
        <v>16.41</v>
      </c>
      <c r="K16">
        <v>16.41</v>
      </c>
      <c r="L16">
        <v>16.41</v>
      </c>
      <c r="M16">
        <v>16.41</v>
      </c>
      <c r="N16">
        <v>16.41</v>
      </c>
      <c r="O16">
        <v>16.41</v>
      </c>
      <c r="P16">
        <v>16.41</v>
      </c>
      <c r="Q16">
        <v>16.41</v>
      </c>
      <c r="R16">
        <v>3.282</v>
      </c>
      <c r="S16">
        <v>0</v>
      </c>
    </row>
    <row r="17" spans="1:19" x14ac:dyDescent="0.25">
      <c r="A17" t="s">
        <v>3</v>
      </c>
      <c r="B17" t="s">
        <v>4</v>
      </c>
      <c r="C17" t="s">
        <v>20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1.0129266400665899</v>
      </c>
      <c r="Q17">
        <v>4.0235626986788837</v>
      </c>
      <c r="R17">
        <v>4.0235626986788837</v>
      </c>
      <c r="S17">
        <v>4.0235626986788837</v>
      </c>
    </row>
    <row r="18" spans="1:19" x14ac:dyDescent="0.25">
      <c r="A18" t="s">
        <v>3</v>
      </c>
      <c r="B18" t="s">
        <v>4</v>
      </c>
      <c r="C18" t="s">
        <v>21</v>
      </c>
      <c r="D18">
        <v>0</v>
      </c>
      <c r="E18">
        <v>0</v>
      </c>
      <c r="F18">
        <v>1.8559631947260391</v>
      </c>
      <c r="G18">
        <v>4.1124680867605026</v>
      </c>
      <c r="H18">
        <v>4.1124680867605026</v>
      </c>
      <c r="I18">
        <v>4.5028733884312864</v>
      </c>
      <c r="J18">
        <v>4.5028733884312864</v>
      </c>
      <c r="K18">
        <v>4.6334085972485148</v>
      </c>
      <c r="L18">
        <v>9.4159589290752184</v>
      </c>
      <c r="M18">
        <v>15.90951289131835</v>
      </c>
      <c r="N18">
        <v>15.90951289131835</v>
      </c>
      <c r="O18">
        <v>15.90951289131835</v>
      </c>
      <c r="P18">
        <v>15.90951289131835</v>
      </c>
      <c r="Q18">
        <v>12.69964676137163</v>
      </c>
      <c r="R18">
        <v>12.834248074761449</v>
      </c>
      <c r="S18">
        <v>13.82499186137159</v>
      </c>
    </row>
    <row r="19" spans="1:19" x14ac:dyDescent="0.25">
      <c r="A19" t="s">
        <v>3</v>
      </c>
      <c r="B19" t="s">
        <v>4</v>
      </c>
      <c r="C19" t="s">
        <v>22</v>
      </c>
      <c r="D19">
        <v>6.5469999999999997</v>
      </c>
      <c r="E19">
        <v>6.5469999999999997</v>
      </c>
      <c r="F19">
        <v>6.5469999999999997</v>
      </c>
      <c r="G19">
        <v>6.5469999999999997</v>
      </c>
      <c r="H19">
        <v>6.5469999999999997</v>
      </c>
      <c r="I19">
        <v>6.5469999999999997</v>
      </c>
      <c r="J19">
        <v>6.5469999999999997</v>
      </c>
      <c r="K19">
        <v>6.5469999999999997</v>
      </c>
      <c r="L19">
        <v>6.5469999999999997</v>
      </c>
      <c r="M19">
        <v>6.5469999999999997</v>
      </c>
      <c r="N19">
        <v>6.5469999999999997</v>
      </c>
      <c r="O19">
        <v>6.5469999999999997</v>
      </c>
      <c r="P19">
        <v>6.5469999999999997</v>
      </c>
      <c r="Q19">
        <v>6.5469999999999997</v>
      </c>
      <c r="R19">
        <v>1.3093999999999999</v>
      </c>
      <c r="S19">
        <v>0</v>
      </c>
    </row>
    <row r="20" spans="1:19" x14ac:dyDescent="0.25">
      <c r="A20" t="s">
        <v>3</v>
      </c>
      <c r="B20" t="s">
        <v>4</v>
      </c>
      <c r="C20" t="s">
        <v>23</v>
      </c>
      <c r="D20">
        <v>8.3149999999999995</v>
      </c>
      <c r="E20">
        <v>8.3149999999999995</v>
      </c>
      <c r="F20">
        <v>8.3149999999999995</v>
      </c>
      <c r="G20">
        <v>8.3149999999999995</v>
      </c>
      <c r="H20">
        <v>8.3149999999999995</v>
      </c>
      <c r="I20">
        <v>8.3149999999999995</v>
      </c>
      <c r="J20">
        <v>8.3149999999999995</v>
      </c>
      <c r="K20">
        <v>8.3149999999999995</v>
      </c>
      <c r="L20">
        <v>8.3149999999999995</v>
      </c>
      <c r="M20">
        <v>8.3149999999999995</v>
      </c>
      <c r="N20">
        <v>8.3149999999999995</v>
      </c>
      <c r="O20">
        <v>8.3149999999999995</v>
      </c>
      <c r="P20">
        <v>8.3149999999999995</v>
      </c>
      <c r="Q20">
        <v>8.3149999999999995</v>
      </c>
      <c r="R20">
        <v>1.663</v>
      </c>
      <c r="S20">
        <v>0</v>
      </c>
    </row>
    <row r="21" spans="1:19" x14ac:dyDescent="0.25">
      <c r="A21" t="s">
        <v>3</v>
      </c>
      <c r="B21" t="s">
        <v>4</v>
      </c>
      <c r="C21" t="s">
        <v>24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0.26589626358398472</v>
      </c>
      <c r="Q21">
        <v>0.26589626358398472</v>
      </c>
      <c r="R21">
        <v>0.26589626358398472</v>
      </c>
      <c r="S21">
        <v>0.26589626358398472</v>
      </c>
    </row>
    <row r="22" spans="1:19" x14ac:dyDescent="0.25">
      <c r="A22" t="s">
        <v>3</v>
      </c>
      <c r="B22" t="s">
        <v>4</v>
      </c>
      <c r="C22" t="s">
        <v>25</v>
      </c>
      <c r="D22">
        <v>7.7160000000000002</v>
      </c>
      <c r="E22">
        <v>7.7160000000000002</v>
      </c>
      <c r="F22">
        <v>7.8740052312157616</v>
      </c>
      <c r="G22">
        <v>7.8740052312157616</v>
      </c>
      <c r="H22">
        <v>7.8740052312157616</v>
      </c>
      <c r="I22">
        <v>7.8740052312157616</v>
      </c>
      <c r="J22">
        <v>7.8740052312157616</v>
      </c>
      <c r="K22">
        <v>7.8740052312157616</v>
      </c>
      <c r="L22">
        <v>7.8740052312157616</v>
      </c>
      <c r="M22">
        <v>7.8740052312157616</v>
      </c>
      <c r="N22">
        <v>7.8740052312157616</v>
      </c>
      <c r="O22">
        <v>7.8740052312157616</v>
      </c>
      <c r="P22">
        <v>7.8740052312157616</v>
      </c>
      <c r="Q22">
        <v>7.8740052312157616</v>
      </c>
      <c r="R22">
        <v>4.718492466933343</v>
      </c>
      <c r="S22">
        <v>4.6876526468880266</v>
      </c>
    </row>
    <row r="23" spans="1:19" x14ac:dyDescent="0.25">
      <c r="A23" t="s">
        <v>3</v>
      </c>
      <c r="B23" t="s">
        <v>4</v>
      </c>
      <c r="C23" t="s">
        <v>26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8</v>
      </c>
      <c r="N23">
        <v>8</v>
      </c>
      <c r="O23">
        <v>8</v>
      </c>
      <c r="P23">
        <v>8</v>
      </c>
      <c r="Q23">
        <v>8</v>
      </c>
      <c r="R23">
        <v>8</v>
      </c>
      <c r="S23">
        <v>8</v>
      </c>
    </row>
    <row r="24" spans="1:19" x14ac:dyDescent="0.25">
      <c r="A24" t="s">
        <v>3</v>
      </c>
      <c r="B24" t="s">
        <v>4</v>
      </c>
      <c r="C24" t="s">
        <v>27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3.2</v>
      </c>
      <c r="N24">
        <v>3.2</v>
      </c>
      <c r="O24">
        <v>3.2</v>
      </c>
      <c r="P24">
        <v>3.2</v>
      </c>
      <c r="Q24">
        <v>3.2</v>
      </c>
      <c r="R24">
        <v>3.2</v>
      </c>
      <c r="S24">
        <v>3.2</v>
      </c>
    </row>
    <row r="25" spans="1:19" x14ac:dyDescent="0.25">
      <c r="A25" t="s">
        <v>3</v>
      </c>
      <c r="B25" t="s">
        <v>4</v>
      </c>
      <c r="C25" t="s">
        <v>28</v>
      </c>
      <c r="D25">
        <v>0</v>
      </c>
      <c r="E25">
        <v>0.65577484449026002</v>
      </c>
      <c r="F25">
        <v>2.6661335909439421</v>
      </c>
      <c r="G25">
        <v>5.1103546611719128</v>
      </c>
      <c r="H25">
        <v>5.7282182183028976</v>
      </c>
      <c r="I25">
        <v>5.9364566492702178</v>
      </c>
      <c r="J25">
        <v>5.9364566492702178</v>
      </c>
      <c r="K25">
        <v>9.6511654347431772</v>
      </c>
      <c r="L25">
        <v>15.980152587340919</v>
      </c>
      <c r="M25">
        <v>17.91834212651418</v>
      </c>
      <c r="N25">
        <v>19.07915656765207</v>
      </c>
      <c r="O25">
        <v>24.48233196999114</v>
      </c>
      <c r="P25">
        <v>26.139612119141791</v>
      </c>
      <c r="Q25">
        <v>26.873689325786859</v>
      </c>
      <c r="R25">
        <v>28.9177559773951</v>
      </c>
      <c r="S25">
        <v>31.111452566593758</v>
      </c>
    </row>
    <row r="26" spans="1:19" x14ac:dyDescent="0.25">
      <c r="A26" t="s">
        <v>3</v>
      </c>
      <c r="B26" t="s">
        <v>4</v>
      </c>
      <c r="C26" t="s">
        <v>29</v>
      </c>
      <c r="D26">
        <v>0.30607479597105719</v>
      </c>
      <c r="E26">
        <v>0.76212092436800227</v>
      </c>
      <c r="F26">
        <v>0.76212092436800227</v>
      </c>
      <c r="G26">
        <v>0.76212092436800227</v>
      </c>
      <c r="H26">
        <v>0.76212092436800227</v>
      </c>
      <c r="I26">
        <v>0.76212092436800227</v>
      </c>
      <c r="J26">
        <v>0.76212092436800227</v>
      </c>
      <c r="K26">
        <v>0.76212092436800227</v>
      </c>
      <c r="L26">
        <v>0.76212092436800227</v>
      </c>
      <c r="M26">
        <v>0.76212092436800227</v>
      </c>
      <c r="N26">
        <v>0.76212092436800227</v>
      </c>
      <c r="O26">
        <v>0.76212092436800227</v>
      </c>
      <c r="P26">
        <v>0.76212092436800227</v>
      </c>
      <c r="Q26">
        <v>0.76212092436800227</v>
      </c>
      <c r="R26">
        <v>0.36865759542658988</v>
      </c>
      <c r="S26">
        <v>0</v>
      </c>
    </row>
    <row r="27" spans="1:19" x14ac:dyDescent="0.25">
      <c r="A27" t="s">
        <v>3</v>
      </c>
      <c r="B27" t="s">
        <v>4</v>
      </c>
      <c r="C27" t="s">
        <v>30</v>
      </c>
      <c r="D27">
        <v>11.279</v>
      </c>
      <c r="E27">
        <v>11.279</v>
      </c>
      <c r="F27">
        <v>11.40687415366328</v>
      </c>
      <c r="G27">
        <v>11.40687415366328</v>
      </c>
      <c r="H27">
        <v>11.40687415366328</v>
      </c>
      <c r="I27">
        <v>11.40687415366328</v>
      </c>
      <c r="J27">
        <v>11.40687415366328</v>
      </c>
      <c r="K27">
        <v>13.67449478502083</v>
      </c>
      <c r="L27">
        <v>13.67449478502083</v>
      </c>
      <c r="M27">
        <v>13.67449478502083</v>
      </c>
      <c r="N27">
        <v>12.649264959504411</v>
      </c>
      <c r="O27">
        <v>10.26559080584113</v>
      </c>
      <c r="P27">
        <v>10.26559080584113</v>
      </c>
      <c r="Q27">
        <v>7.9979701744835801</v>
      </c>
      <c r="R27">
        <v>0</v>
      </c>
      <c r="S27">
        <v>0</v>
      </c>
    </row>
    <row r="28" spans="1:19" x14ac:dyDescent="0.25">
      <c r="A28" t="s">
        <v>3</v>
      </c>
      <c r="B28" t="s">
        <v>4</v>
      </c>
      <c r="C28" t="s">
        <v>31</v>
      </c>
      <c r="D28">
        <v>2.8300076147914139</v>
      </c>
      <c r="E28">
        <v>5.6800536914861492</v>
      </c>
      <c r="F28">
        <v>12.444858314626829</v>
      </c>
      <c r="G28">
        <v>13.91370480839185</v>
      </c>
      <c r="H28">
        <v>15.214565546756839</v>
      </c>
      <c r="I28">
        <v>15.214565546756839</v>
      </c>
      <c r="J28">
        <v>15.214565546756839</v>
      </c>
      <c r="K28">
        <v>15.214565546756839</v>
      </c>
      <c r="L28">
        <v>19.78425849784081</v>
      </c>
      <c r="M28">
        <v>20.4897523999587</v>
      </c>
      <c r="N28">
        <v>23.196284582278889</v>
      </c>
      <c r="O28">
        <v>39.312453566020217</v>
      </c>
      <c r="P28">
        <v>49.964540541298561</v>
      </c>
      <c r="Q28">
        <v>62.88424814793445</v>
      </c>
      <c r="R28">
        <v>81.534305297696378</v>
      </c>
      <c r="S28">
        <v>92.186392272974715</v>
      </c>
    </row>
    <row r="29" spans="1:19" x14ac:dyDescent="0.25">
      <c r="A29" t="s">
        <v>3</v>
      </c>
      <c r="B29" t="s">
        <v>4</v>
      </c>
      <c r="C29" t="s">
        <v>32</v>
      </c>
      <c r="D29">
        <v>2.5459999999999998</v>
      </c>
      <c r="E29">
        <v>2.5459999999999998</v>
      </c>
      <c r="F29">
        <v>2.5459999999999998</v>
      </c>
      <c r="G29">
        <v>2.5459999999999998</v>
      </c>
      <c r="H29">
        <v>2.5459999999999998</v>
      </c>
      <c r="I29">
        <v>2.5459999999999998</v>
      </c>
      <c r="J29">
        <v>2.5459999999999998</v>
      </c>
      <c r="K29">
        <v>2.5459999999999998</v>
      </c>
      <c r="L29">
        <v>2.5459999999999998</v>
      </c>
      <c r="M29">
        <v>2.5459999999999998</v>
      </c>
      <c r="N29">
        <v>2.5459999999999998</v>
      </c>
      <c r="O29">
        <v>2.5459999999999998</v>
      </c>
      <c r="P29">
        <v>2.5459999999999998</v>
      </c>
      <c r="Q29">
        <v>3.262665277411847</v>
      </c>
      <c r="R29">
        <v>7.2705941275617336</v>
      </c>
      <c r="S29">
        <v>11.82483959941497</v>
      </c>
    </row>
    <row r="33" spans="3:19" x14ac:dyDescent="0.25">
      <c r="C33" t="s">
        <v>40</v>
      </c>
      <c r="D33" cm="1">
        <f t="array" ref="D33:S33">D2:S2+D4:S4</f>
        <v>0.70094042832944958</v>
      </c>
      <c r="E33">
        <v>0.70094042832944958</v>
      </c>
      <c r="F33">
        <v>0.78771187771932505</v>
      </c>
      <c r="G33">
        <v>0.87543281312130117</v>
      </c>
      <c r="H33">
        <v>0.87543281312130117</v>
      </c>
      <c r="I33">
        <v>0.87543281312130117</v>
      </c>
      <c r="J33">
        <v>0.87543281312130117</v>
      </c>
      <c r="K33">
        <v>0.87543281312130117</v>
      </c>
      <c r="L33">
        <v>0.87543281312130117</v>
      </c>
      <c r="M33">
        <v>0.87543281312130117</v>
      </c>
      <c r="N33">
        <v>0.87543281312130117</v>
      </c>
      <c r="O33">
        <v>0.87543281312130117</v>
      </c>
      <c r="P33">
        <v>0.87543281312130117</v>
      </c>
      <c r="Q33">
        <v>0.87543281312130117</v>
      </c>
      <c r="R33">
        <v>0.34106855612363141</v>
      </c>
      <c r="S33">
        <v>1.75441870803952E-2</v>
      </c>
    </row>
    <row r="34" spans="3:19" x14ac:dyDescent="0.25">
      <c r="C34" t="s">
        <v>41</v>
      </c>
      <c r="D34" cm="1">
        <f t="array" ref="D34:S34">D19:S19+D16:S16</f>
        <v>22.957000000000001</v>
      </c>
      <c r="E34">
        <v>22.957000000000001</v>
      </c>
      <c r="F34">
        <v>22.957000000000001</v>
      </c>
      <c r="G34">
        <v>22.957000000000001</v>
      </c>
      <c r="H34">
        <v>22.957000000000001</v>
      </c>
      <c r="I34">
        <v>22.957000000000001</v>
      </c>
      <c r="J34">
        <v>22.957000000000001</v>
      </c>
      <c r="K34">
        <v>22.957000000000001</v>
      </c>
      <c r="L34">
        <v>22.957000000000001</v>
      </c>
      <c r="M34">
        <v>22.957000000000001</v>
      </c>
      <c r="N34">
        <v>22.957000000000001</v>
      </c>
      <c r="O34">
        <v>22.957000000000001</v>
      </c>
      <c r="P34">
        <v>22.957000000000001</v>
      </c>
      <c r="Q34">
        <v>22.957000000000001</v>
      </c>
      <c r="R34">
        <v>4.5914000000000001</v>
      </c>
      <c r="S34">
        <v>0</v>
      </c>
    </row>
    <row r="35" spans="3:19" x14ac:dyDescent="0.25">
      <c r="C35" t="s">
        <v>42</v>
      </c>
      <c r="D35" cm="1">
        <f t="array" ref="D35:S35">D26:S26</f>
        <v>0.30607479597105719</v>
      </c>
      <c r="E35">
        <v>0.76212092436800227</v>
      </c>
      <c r="F35">
        <v>0.76212092436800227</v>
      </c>
      <c r="G35">
        <v>0.76212092436800227</v>
      </c>
      <c r="H35">
        <v>0.76212092436800227</v>
      </c>
      <c r="I35">
        <v>0.76212092436800227</v>
      </c>
      <c r="J35">
        <v>0.76212092436800227</v>
      </c>
      <c r="K35">
        <v>0.76212092436800227</v>
      </c>
      <c r="L35">
        <v>0.76212092436800227</v>
      </c>
      <c r="M35">
        <v>0.76212092436800227</v>
      </c>
      <c r="N35">
        <v>0.76212092436800227</v>
      </c>
      <c r="O35">
        <v>0.76212092436800227</v>
      </c>
      <c r="P35">
        <v>0.76212092436800227</v>
      </c>
      <c r="Q35">
        <v>0.76212092436800227</v>
      </c>
      <c r="R35">
        <v>0.36865759542658988</v>
      </c>
      <c r="S35">
        <v>0</v>
      </c>
    </row>
    <row r="36" spans="3:19" x14ac:dyDescent="0.25">
      <c r="C36" t="s">
        <v>43</v>
      </c>
      <c r="D36" cm="1">
        <f t="array" ref="D36:S36">D27:S27</f>
        <v>11.279</v>
      </c>
      <c r="E36">
        <v>11.279</v>
      </c>
      <c r="F36">
        <v>11.40687415366328</v>
      </c>
      <c r="G36">
        <v>11.40687415366328</v>
      </c>
      <c r="H36">
        <v>11.40687415366328</v>
      </c>
      <c r="I36">
        <v>11.40687415366328</v>
      </c>
      <c r="J36">
        <v>11.40687415366328</v>
      </c>
      <c r="K36">
        <v>13.67449478502083</v>
      </c>
      <c r="L36">
        <v>13.67449478502083</v>
      </c>
      <c r="M36">
        <v>13.67449478502083</v>
      </c>
      <c r="N36">
        <v>12.649264959504411</v>
      </c>
      <c r="O36">
        <v>10.26559080584113</v>
      </c>
      <c r="P36">
        <v>10.26559080584113</v>
      </c>
      <c r="Q36">
        <v>7.9979701744835801</v>
      </c>
      <c r="R36">
        <v>0</v>
      </c>
      <c r="S36">
        <v>0</v>
      </c>
    </row>
    <row r="37" spans="3:19" x14ac:dyDescent="0.25">
      <c r="C37" t="s">
        <v>45</v>
      </c>
      <c r="D37" cm="1">
        <f t="array" ref="D37:S37">D11:S11</f>
        <v>11.212999999999999</v>
      </c>
      <c r="E37">
        <v>11.212999999999999</v>
      </c>
      <c r="F37">
        <v>11.212999999999999</v>
      </c>
      <c r="G37">
        <v>11.212999999999999</v>
      </c>
      <c r="H37">
        <v>11.212999999999999</v>
      </c>
      <c r="I37">
        <v>11.212999999999999</v>
      </c>
      <c r="J37">
        <v>11.212999999999999</v>
      </c>
      <c r="K37">
        <v>11.212999999999999</v>
      </c>
      <c r="L37">
        <v>11.212999999999999</v>
      </c>
      <c r="M37">
        <v>11.212999999999999</v>
      </c>
      <c r="N37">
        <v>11.212999999999999</v>
      </c>
      <c r="O37">
        <v>11.212999999999999</v>
      </c>
      <c r="P37">
        <v>11.212999999999999</v>
      </c>
      <c r="Q37">
        <v>11.212999999999999</v>
      </c>
      <c r="R37">
        <v>2.2425999999999999</v>
      </c>
      <c r="S37">
        <v>0</v>
      </c>
    </row>
    <row r="38" spans="3:19" x14ac:dyDescent="0.25">
      <c r="C38" t="s">
        <v>46</v>
      </c>
      <c r="D38" cm="1">
        <f t="array" ref="D38:S38">D20:S20</f>
        <v>8.3149999999999995</v>
      </c>
      <c r="E38">
        <v>8.3149999999999995</v>
      </c>
      <c r="F38">
        <v>8.3149999999999995</v>
      </c>
      <c r="G38">
        <v>8.3149999999999995</v>
      </c>
      <c r="H38">
        <v>8.3149999999999995</v>
      </c>
      <c r="I38">
        <v>8.3149999999999995</v>
      </c>
      <c r="J38">
        <v>8.3149999999999995</v>
      </c>
      <c r="K38">
        <v>8.3149999999999995</v>
      </c>
      <c r="L38">
        <v>8.3149999999999995</v>
      </c>
      <c r="M38">
        <v>8.3149999999999995</v>
      </c>
      <c r="N38">
        <v>8.3149999999999995</v>
      </c>
      <c r="O38">
        <v>8.3149999999999995</v>
      </c>
      <c r="P38">
        <v>8.3149999999999995</v>
      </c>
      <c r="Q38">
        <v>8.3149999999999995</v>
      </c>
      <c r="R38">
        <v>1.663</v>
      </c>
      <c r="S38">
        <v>0</v>
      </c>
    </row>
    <row r="39" spans="3:19" x14ac:dyDescent="0.25">
      <c r="C39" t="s">
        <v>44</v>
      </c>
      <c r="D39" cm="1">
        <f t="array" ref="D39:S39">D22:S22</f>
        <v>7.7160000000000002</v>
      </c>
      <c r="E39">
        <v>7.7160000000000002</v>
      </c>
      <c r="F39">
        <v>7.8740052312157616</v>
      </c>
      <c r="G39">
        <v>7.8740052312157616</v>
      </c>
      <c r="H39">
        <v>7.8740052312157616</v>
      </c>
      <c r="I39">
        <v>7.8740052312157616</v>
      </c>
      <c r="J39">
        <v>7.8740052312157616</v>
      </c>
      <c r="K39">
        <v>7.8740052312157616</v>
      </c>
      <c r="L39">
        <v>7.8740052312157616</v>
      </c>
      <c r="M39">
        <v>7.8740052312157616</v>
      </c>
      <c r="N39">
        <v>7.8740052312157616</v>
      </c>
      <c r="O39">
        <v>7.8740052312157616</v>
      </c>
      <c r="P39">
        <v>7.8740052312157616</v>
      </c>
      <c r="Q39">
        <v>7.8740052312157616</v>
      </c>
      <c r="R39">
        <v>4.718492466933343</v>
      </c>
      <c r="S39">
        <v>4.6876526468880266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8"/>
  <sheetViews>
    <sheetView tabSelected="1" topLeftCell="A34" workbookViewId="0">
      <selection activeCell="X50" sqref="X50"/>
    </sheetView>
  </sheetViews>
  <sheetFormatPr defaultRowHeight="15" x14ac:dyDescent="0.25"/>
  <cols>
    <col min="3" max="3" width="22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33</v>
      </c>
      <c r="E1" s="1">
        <v>2007</v>
      </c>
      <c r="F1" s="1">
        <v>2008</v>
      </c>
      <c r="G1" s="1">
        <v>2010</v>
      </c>
      <c r="H1" s="1">
        <v>2012</v>
      </c>
      <c r="I1" s="1">
        <v>2014</v>
      </c>
      <c r="J1" s="1">
        <v>2016</v>
      </c>
      <c r="K1" s="1">
        <v>2018</v>
      </c>
      <c r="L1" s="1">
        <v>2020</v>
      </c>
      <c r="M1" s="1">
        <v>2022</v>
      </c>
      <c r="N1" s="1">
        <v>2024</v>
      </c>
      <c r="O1" s="1">
        <v>2025</v>
      </c>
      <c r="P1" s="1">
        <v>2030</v>
      </c>
      <c r="Q1" s="1">
        <v>2035</v>
      </c>
      <c r="R1" s="1">
        <v>2040</v>
      </c>
      <c r="S1" s="1">
        <v>2045</v>
      </c>
      <c r="T1" s="1">
        <v>2050</v>
      </c>
    </row>
    <row r="2" spans="1:20" x14ac:dyDescent="0.25">
      <c r="A2" t="s">
        <v>3</v>
      </c>
      <c r="B2" t="s">
        <v>4</v>
      </c>
      <c r="C2" t="s">
        <v>5</v>
      </c>
      <c r="D2" t="s">
        <v>34</v>
      </c>
      <c r="E2">
        <v>4.6937302325581411</v>
      </c>
      <c r="F2">
        <v>4.6937302325581403</v>
      </c>
      <c r="G2">
        <v>4.6937302325581403</v>
      </c>
      <c r="H2">
        <v>4.4590437209302323</v>
      </c>
      <c r="I2">
        <v>4.2243572093023243</v>
      </c>
      <c r="J2">
        <v>3.989670697674419</v>
      </c>
      <c r="K2">
        <v>3.754984186046511</v>
      </c>
      <c r="L2">
        <v>3.5202976744186039</v>
      </c>
      <c r="M2">
        <v>3.285611162790699</v>
      </c>
      <c r="N2">
        <v>3.050924651162791</v>
      </c>
      <c r="O2">
        <v>2.933581395348837</v>
      </c>
      <c r="P2">
        <v>2.3468651162790701</v>
      </c>
      <c r="Q2">
        <v>1.760148837209303</v>
      </c>
      <c r="R2">
        <v>1.1734325581395351</v>
      </c>
      <c r="S2">
        <v>0.58671627906976753</v>
      </c>
      <c r="T2">
        <v>0</v>
      </c>
    </row>
    <row r="3" spans="1:20" x14ac:dyDescent="0.25">
      <c r="A3" t="s">
        <v>3</v>
      </c>
      <c r="B3" t="s">
        <v>4</v>
      </c>
      <c r="C3" t="s">
        <v>6</v>
      </c>
      <c r="D3" t="s">
        <v>34</v>
      </c>
      <c r="E3">
        <v>0</v>
      </c>
      <c r="F3">
        <v>0</v>
      </c>
      <c r="G3">
        <v>0</v>
      </c>
      <c r="H3">
        <v>0</v>
      </c>
      <c r="I3">
        <v>1.828406511627908</v>
      </c>
      <c r="J3">
        <v>2.9377925581395372</v>
      </c>
      <c r="K3">
        <v>4.4910753488372048</v>
      </c>
      <c r="L3">
        <v>8.4999181395348877</v>
      </c>
      <c r="M3">
        <v>8.0063309302325596</v>
      </c>
      <c r="N3">
        <v>7.5127437209302332</v>
      </c>
      <c r="O3">
        <v>8.4541151162790751</v>
      </c>
      <c r="P3">
        <v>13.16097209302327</v>
      </c>
      <c r="Q3">
        <v>15.808229069767449</v>
      </c>
      <c r="R3">
        <v>18.455486046511631</v>
      </c>
      <c r="S3">
        <v>21.102743023255812</v>
      </c>
      <c r="T3">
        <v>23.75</v>
      </c>
    </row>
    <row r="4" spans="1:20" x14ac:dyDescent="0.25">
      <c r="A4" t="s">
        <v>3</v>
      </c>
      <c r="B4" t="s">
        <v>4</v>
      </c>
      <c r="C4" t="s">
        <v>7</v>
      </c>
      <c r="D4" t="s">
        <v>35</v>
      </c>
      <c r="E4">
        <v>2.6968897674418599</v>
      </c>
      <c r="F4">
        <v>4.0591897674418584</v>
      </c>
      <c r="G4">
        <v>8.5960297674418644</v>
      </c>
      <c r="H4">
        <v>10.116996279069779</v>
      </c>
      <c r="I4">
        <v>10.11699627906977</v>
      </c>
      <c r="J4">
        <v>9.9741767441860478</v>
      </c>
      <c r="K4">
        <v>9.3874604651162805</v>
      </c>
      <c r="L4">
        <v>8.800744186046515</v>
      </c>
      <c r="M4">
        <v>8.2140279069767459</v>
      </c>
      <c r="N4">
        <v>7.6273116279069786</v>
      </c>
      <c r="O4">
        <v>7.3339534883720958</v>
      </c>
      <c r="P4">
        <v>5.8671627906976731</v>
      </c>
      <c r="Q4">
        <v>4.4003720930232566</v>
      </c>
      <c r="R4">
        <v>2.9335813953488379</v>
      </c>
      <c r="S4">
        <v>1.4667906976744189</v>
      </c>
      <c r="T4">
        <v>0</v>
      </c>
    </row>
    <row r="5" spans="1:20" x14ac:dyDescent="0.25">
      <c r="A5" t="s">
        <v>3</v>
      </c>
      <c r="B5" t="s">
        <v>4</v>
      </c>
      <c r="C5" t="s">
        <v>8</v>
      </c>
      <c r="D5" t="s">
        <v>35</v>
      </c>
      <c r="E5">
        <v>0</v>
      </c>
      <c r="F5">
        <v>0</v>
      </c>
      <c r="G5">
        <v>0</v>
      </c>
      <c r="H5">
        <v>0</v>
      </c>
      <c r="I5">
        <v>2.7391205859840011</v>
      </c>
      <c r="J5">
        <v>4.1086808789760001</v>
      </c>
      <c r="K5">
        <v>4.1086808789760001</v>
      </c>
      <c r="L5">
        <v>5.9542743167999994</v>
      </c>
      <c r="M5">
        <v>7.5025400394240016</v>
      </c>
      <c r="N5">
        <v>8.7529633793280031</v>
      </c>
      <c r="O5">
        <v>8.8688836379051494</v>
      </c>
      <c r="P5">
        <v>5.8040879011199991</v>
      </c>
      <c r="Q5">
        <v>5.8040879011200008</v>
      </c>
      <c r="R5">
        <v>6.2508514751999993</v>
      </c>
      <c r="S5">
        <v>5.9962357565001607</v>
      </c>
      <c r="T5">
        <v>6.1324567870464</v>
      </c>
    </row>
    <row r="6" spans="1:20" x14ac:dyDescent="0.25">
      <c r="A6" t="s">
        <v>3</v>
      </c>
      <c r="B6" t="s">
        <v>4</v>
      </c>
      <c r="C6" t="s">
        <v>9</v>
      </c>
      <c r="D6" t="s">
        <v>35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30.468015907759259</v>
      </c>
      <c r="Q6">
        <v>32.150719895039998</v>
      </c>
      <c r="R6">
        <v>31.95156305509294</v>
      </c>
      <c r="S6">
        <v>28.36636962048</v>
      </c>
      <c r="T6">
        <v>16.936005121881848</v>
      </c>
    </row>
    <row r="7" spans="1:20" x14ac:dyDescent="0.25">
      <c r="A7" t="s">
        <v>3</v>
      </c>
      <c r="B7" t="s">
        <v>4</v>
      </c>
      <c r="C7" t="s">
        <v>10</v>
      </c>
      <c r="D7" t="s">
        <v>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12.959302924799999</v>
      </c>
      <c r="M7">
        <v>16.124226565919631</v>
      </c>
      <c r="N7">
        <v>14.966633574144</v>
      </c>
      <c r="O7">
        <v>16.035678829439998</v>
      </c>
      <c r="P7">
        <v>12.632426608319999</v>
      </c>
      <c r="Q7">
        <v>12.632426608319999</v>
      </c>
      <c r="R7">
        <v>12.632426608319999</v>
      </c>
      <c r="S7">
        <v>12.632426608319999</v>
      </c>
      <c r="T7">
        <v>12.878076379917539</v>
      </c>
    </row>
    <row r="8" spans="1:20" x14ac:dyDescent="0.25">
      <c r="A8" t="s">
        <v>3</v>
      </c>
      <c r="B8" t="s">
        <v>4</v>
      </c>
      <c r="C8" t="s">
        <v>11</v>
      </c>
      <c r="D8" t="s">
        <v>35</v>
      </c>
      <c r="E8">
        <v>0</v>
      </c>
      <c r="F8">
        <v>0</v>
      </c>
      <c r="G8">
        <v>0</v>
      </c>
      <c r="H8">
        <v>0</v>
      </c>
      <c r="I8">
        <v>0</v>
      </c>
      <c r="J8">
        <v>19.3351582628177</v>
      </c>
      <c r="K8">
        <v>19.3351582628177</v>
      </c>
      <c r="L8">
        <v>19.339609281951461</v>
      </c>
      <c r="M8">
        <v>19.438954387199999</v>
      </c>
      <c r="N8">
        <v>16.035678829439998</v>
      </c>
      <c r="O8">
        <v>16.035678829439998</v>
      </c>
      <c r="P8">
        <v>12.632426608319999</v>
      </c>
      <c r="Q8">
        <v>12.632426608319999</v>
      </c>
      <c r="R8">
        <v>12.55322332533456</v>
      </c>
      <c r="S8">
        <v>12.220612392323011</v>
      </c>
      <c r="T8">
        <v>10.599328023111561</v>
      </c>
    </row>
    <row r="9" spans="1:20" x14ac:dyDescent="0.25">
      <c r="A9" t="s">
        <v>3</v>
      </c>
      <c r="B9" t="s">
        <v>4</v>
      </c>
      <c r="C9" t="s">
        <v>12</v>
      </c>
      <c r="D9" t="s">
        <v>35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29.53555242872131</v>
      </c>
      <c r="Q9">
        <v>29.53555242872131</v>
      </c>
      <c r="R9">
        <v>67.617056697516347</v>
      </c>
      <c r="S9">
        <v>67.617056697516347</v>
      </c>
      <c r="T9">
        <v>53.169595876821667</v>
      </c>
    </row>
    <row r="10" spans="1:20" x14ac:dyDescent="0.25">
      <c r="A10" t="s">
        <v>3</v>
      </c>
      <c r="B10" t="s">
        <v>4</v>
      </c>
      <c r="C10" t="s">
        <v>13</v>
      </c>
      <c r="D10" t="s">
        <v>35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9.8591855429589064</v>
      </c>
      <c r="R10">
        <v>28.178155399315958</v>
      </c>
      <c r="S10">
        <v>27.05693844000935</v>
      </c>
      <c r="T10">
        <v>13.92031415296697</v>
      </c>
    </row>
    <row r="11" spans="1:20" x14ac:dyDescent="0.25">
      <c r="A11" t="s">
        <v>3</v>
      </c>
      <c r="B11" t="s">
        <v>4</v>
      </c>
      <c r="C11" t="s">
        <v>14</v>
      </c>
      <c r="D11" t="s">
        <v>35</v>
      </c>
      <c r="E11">
        <v>266.70999999999998</v>
      </c>
      <c r="F11">
        <v>177.52780000000001</v>
      </c>
      <c r="G11">
        <v>92.385000000000062</v>
      </c>
      <c r="H11">
        <v>186.7415</v>
      </c>
      <c r="I11">
        <v>155.03999999999979</v>
      </c>
      <c r="J11">
        <v>120.9635000000002</v>
      </c>
      <c r="K11">
        <v>125.248</v>
      </c>
      <c r="L11">
        <v>13.90799999999996</v>
      </c>
      <c r="M11">
        <v>22.60999999999996</v>
      </c>
      <c r="N11">
        <v>4.7310000000000034</v>
      </c>
      <c r="O11">
        <v>3.071666666666673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3</v>
      </c>
      <c r="B12" t="s">
        <v>4</v>
      </c>
      <c r="C12" t="s">
        <v>15</v>
      </c>
      <c r="D12" t="s">
        <v>35</v>
      </c>
      <c r="E12">
        <v>0</v>
      </c>
      <c r="F12">
        <v>2.375</v>
      </c>
      <c r="G12">
        <v>2.375</v>
      </c>
      <c r="H12">
        <v>4.7499999999999938</v>
      </c>
      <c r="I12">
        <v>4.75</v>
      </c>
      <c r="J12">
        <v>7.1249999999999991</v>
      </c>
      <c r="K12">
        <v>7.1249999999999982</v>
      </c>
      <c r="L12">
        <v>7.1249999999999991</v>
      </c>
      <c r="M12">
        <v>7.1249999999999982</v>
      </c>
      <c r="N12">
        <v>7.1249999999999991</v>
      </c>
      <c r="O12">
        <v>7.1249999999999991</v>
      </c>
      <c r="P12">
        <v>1.9</v>
      </c>
      <c r="Q12">
        <v>1.425</v>
      </c>
      <c r="R12">
        <v>0.95</v>
      </c>
      <c r="S12">
        <v>0.47499999999999992</v>
      </c>
      <c r="T12">
        <v>0</v>
      </c>
    </row>
    <row r="13" spans="1:20" x14ac:dyDescent="0.25">
      <c r="A13" t="s">
        <v>3</v>
      </c>
      <c r="B13" t="s">
        <v>4</v>
      </c>
      <c r="C13" t="s">
        <v>16</v>
      </c>
      <c r="D13" t="s">
        <v>35</v>
      </c>
      <c r="E13">
        <v>0</v>
      </c>
      <c r="F13">
        <v>0</v>
      </c>
      <c r="G13">
        <v>0.6</v>
      </c>
      <c r="H13">
        <v>0</v>
      </c>
      <c r="I13">
        <v>0</v>
      </c>
      <c r="J13">
        <v>0</v>
      </c>
      <c r="K13">
        <v>0</v>
      </c>
      <c r="L13">
        <v>0</v>
      </c>
      <c r="M13">
        <v>0.2975000000000001</v>
      </c>
      <c r="N13">
        <v>0.27625</v>
      </c>
      <c r="O13">
        <v>0.265625</v>
      </c>
      <c r="P13">
        <v>0.21249999999999999</v>
      </c>
      <c r="Q13">
        <v>0.15937499999999999</v>
      </c>
      <c r="R13">
        <v>0.10625</v>
      </c>
      <c r="S13">
        <v>5.3124999999999978E-2</v>
      </c>
      <c r="T13">
        <v>0</v>
      </c>
    </row>
    <row r="14" spans="1:20" x14ac:dyDescent="0.25">
      <c r="A14" t="s">
        <v>3</v>
      </c>
      <c r="B14" t="s">
        <v>4</v>
      </c>
      <c r="C14" t="s">
        <v>17</v>
      </c>
      <c r="D14" t="s">
        <v>35</v>
      </c>
      <c r="E14">
        <v>72.328026287897856</v>
      </c>
      <c r="F14">
        <v>56.029209792794383</v>
      </c>
      <c r="G14">
        <v>110.0203463944904</v>
      </c>
      <c r="H14">
        <v>62.403703486473162</v>
      </c>
      <c r="I14">
        <v>110.0203463944904</v>
      </c>
      <c r="J14">
        <v>110.0203463944904</v>
      </c>
      <c r="K14">
        <v>108.21106015775931</v>
      </c>
      <c r="L14">
        <v>95.506508573393035</v>
      </c>
      <c r="M14">
        <v>75.740880433912992</v>
      </c>
      <c r="N14">
        <v>110.0203463944904</v>
      </c>
      <c r="O14">
        <v>110.0203463944904</v>
      </c>
      <c r="P14">
        <v>182.55755243769531</v>
      </c>
      <c r="Q14">
        <v>185.59064260659991</v>
      </c>
      <c r="R14">
        <v>194.11648358167909</v>
      </c>
      <c r="S14">
        <v>196.1099103224376</v>
      </c>
      <c r="T14">
        <v>169.88444835262709</v>
      </c>
    </row>
    <row r="15" spans="1:20" x14ac:dyDescent="0.25">
      <c r="A15" t="s">
        <v>3</v>
      </c>
      <c r="B15" t="s">
        <v>4</v>
      </c>
      <c r="C15" t="s">
        <v>18</v>
      </c>
      <c r="D15" t="s">
        <v>34</v>
      </c>
      <c r="E15">
        <v>0</v>
      </c>
      <c r="F15">
        <v>0</v>
      </c>
      <c r="G15">
        <v>15.19416370025009</v>
      </c>
      <c r="H15">
        <v>1.739292035569433</v>
      </c>
      <c r="I15">
        <v>15.19416370025009</v>
      </c>
      <c r="J15">
        <v>15.19416370025009</v>
      </c>
      <c r="K15">
        <v>8.2507060724705514</v>
      </c>
      <c r="L15">
        <v>11.81783815455584</v>
      </c>
      <c r="M15">
        <v>11.78303956608702</v>
      </c>
      <c r="N15">
        <v>34.890279572218027</v>
      </c>
      <c r="O15">
        <v>55.605517058338201</v>
      </c>
      <c r="P15">
        <v>56.764799999999987</v>
      </c>
      <c r="Q15">
        <v>56.764800000000022</v>
      </c>
      <c r="R15">
        <v>54.440984378342627</v>
      </c>
      <c r="S15">
        <v>45.822347317124503</v>
      </c>
      <c r="T15">
        <v>41.570636299749907</v>
      </c>
    </row>
    <row r="16" spans="1:20" x14ac:dyDescent="0.25">
      <c r="A16" t="s">
        <v>3</v>
      </c>
      <c r="B16" t="s">
        <v>4</v>
      </c>
      <c r="C16" t="s">
        <v>19</v>
      </c>
      <c r="D16" t="s">
        <v>35</v>
      </c>
      <c r="E16">
        <v>341.27640000000008</v>
      </c>
      <c r="F16">
        <v>434.87279999999998</v>
      </c>
      <c r="G16">
        <v>341.46359999999999</v>
      </c>
      <c r="H16">
        <v>263.90879999999999</v>
      </c>
      <c r="I16">
        <v>176.8040394140159</v>
      </c>
      <c r="J16">
        <v>157.20056085820619</v>
      </c>
      <c r="K16">
        <v>185.3705608582064</v>
      </c>
      <c r="L16">
        <v>212.80721347644871</v>
      </c>
      <c r="M16">
        <v>250.96877900745659</v>
      </c>
      <c r="N16">
        <v>144.39798261264659</v>
      </c>
      <c r="O16">
        <v>150.9254978651995</v>
      </c>
      <c r="P16">
        <v>136.9639618498347</v>
      </c>
      <c r="Q16">
        <v>124.21</v>
      </c>
      <c r="R16">
        <v>27.2</v>
      </c>
      <c r="S16">
        <v>13.6</v>
      </c>
      <c r="T16">
        <v>0</v>
      </c>
    </row>
    <row r="17" spans="1:20" x14ac:dyDescent="0.25">
      <c r="A17" t="s">
        <v>3</v>
      </c>
      <c r="B17" t="s">
        <v>4</v>
      </c>
      <c r="C17" t="s">
        <v>20</v>
      </c>
      <c r="D17" t="s">
        <v>35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15.526038830886341</v>
      </c>
      <c r="R17">
        <v>52.83391106439111</v>
      </c>
      <c r="S17">
        <v>53.721288106154127</v>
      </c>
      <c r="T17">
        <v>18.684295148384919</v>
      </c>
    </row>
    <row r="18" spans="1:20" x14ac:dyDescent="0.25">
      <c r="A18" t="s">
        <v>3</v>
      </c>
      <c r="B18" t="s">
        <v>4</v>
      </c>
      <c r="C18" t="s">
        <v>21</v>
      </c>
      <c r="D18" t="s">
        <v>35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14.880260640094949</v>
      </c>
      <c r="S18">
        <v>1.948545218679582</v>
      </c>
      <c r="T18">
        <v>65.847653556070426</v>
      </c>
    </row>
    <row r="19" spans="1:20" x14ac:dyDescent="0.25">
      <c r="A19" t="s">
        <v>3</v>
      </c>
      <c r="B19" t="s">
        <v>4</v>
      </c>
      <c r="C19" t="s">
        <v>22</v>
      </c>
      <c r="D19" t="s">
        <v>35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2.5</v>
      </c>
      <c r="T19">
        <v>0</v>
      </c>
    </row>
    <row r="20" spans="1:20" x14ac:dyDescent="0.25">
      <c r="A20" t="s">
        <v>3</v>
      </c>
      <c r="B20" t="s">
        <v>4</v>
      </c>
      <c r="C20" t="s">
        <v>23</v>
      </c>
      <c r="D20" t="s">
        <v>35</v>
      </c>
      <c r="E20">
        <v>66.628799999999998</v>
      </c>
      <c r="F20">
        <v>63.299879999999987</v>
      </c>
      <c r="G20">
        <v>59.623199999999997</v>
      </c>
      <c r="H20">
        <v>52.397819999999967</v>
      </c>
      <c r="I20">
        <v>48.293819999999997</v>
      </c>
      <c r="J20">
        <v>57.86981999999999</v>
      </c>
      <c r="K20">
        <v>49.583159999999999</v>
      </c>
      <c r="L20">
        <v>36.607680000000002</v>
      </c>
      <c r="M20">
        <v>36.217800000000011</v>
      </c>
      <c r="N20">
        <v>30.513999999999999</v>
      </c>
      <c r="O20">
        <v>27.01166666666667</v>
      </c>
      <c r="P20">
        <v>9.5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 t="s">
        <v>3</v>
      </c>
      <c r="B21" t="s">
        <v>4</v>
      </c>
      <c r="C21" t="s">
        <v>24</v>
      </c>
      <c r="D21" t="s">
        <v>35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7.125</v>
      </c>
      <c r="R21">
        <v>4.75</v>
      </c>
      <c r="S21">
        <v>2.375</v>
      </c>
      <c r="T21">
        <v>0</v>
      </c>
    </row>
    <row r="22" spans="1:20" x14ac:dyDescent="0.25">
      <c r="A22" t="s">
        <v>3</v>
      </c>
      <c r="B22" t="s">
        <v>4</v>
      </c>
      <c r="C22" t="s">
        <v>25</v>
      </c>
      <c r="D22" t="s">
        <v>35</v>
      </c>
      <c r="E22">
        <v>198.37</v>
      </c>
      <c r="F22">
        <v>212.30279999999999</v>
      </c>
      <c r="G22">
        <v>223.40450000000021</v>
      </c>
      <c r="H22">
        <v>221.29</v>
      </c>
      <c r="I22">
        <v>208.50232205901611</v>
      </c>
      <c r="J22">
        <v>223.29959885294511</v>
      </c>
      <c r="K22">
        <v>200.76</v>
      </c>
      <c r="L22">
        <v>209.88000000000011</v>
      </c>
      <c r="M22">
        <v>223.40450000000001</v>
      </c>
      <c r="N22">
        <v>215.94100000000009</v>
      </c>
      <c r="O22">
        <v>202.70083333333341</v>
      </c>
      <c r="P22">
        <v>136.5</v>
      </c>
      <c r="Q22">
        <v>135.625</v>
      </c>
      <c r="R22">
        <v>134.75</v>
      </c>
      <c r="S22">
        <v>133.875</v>
      </c>
      <c r="T22">
        <v>133</v>
      </c>
    </row>
    <row r="23" spans="1:20" x14ac:dyDescent="0.25">
      <c r="A23" t="s">
        <v>3</v>
      </c>
      <c r="B23" t="s">
        <v>4</v>
      </c>
      <c r="C23" t="s">
        <v>26</v>
      </c>
      <c r="D23" t="s">
        <v>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49.625829926784</v>
      </c>
      <c r="O23">
        <v>49.625829926784007</v>
      </c>
      <c r="P23">
        <v>49.625829926784007</v>
      </c>
      <c r="Q23">
        <v>49.625829926784007</v>
      </c>
      <c r="R23">
        <v>48.196186489728007</v>
      </c>
      <c r="S23">
        <v>49.625829926784007</v>
      </c>
      <c r="T23">
        <v>48.729730205962433</v>
      </c>
    </row>
    <row r="24" spans="1:20" x14ac:dyDescent="0.25">
      <c r="A24" t="s">
        <v>3</v>
      </c>
      <c r="B24" t="s">
        <v>4</v>
      </c>
      <c r="C24" t="s">
        <v>27</v>
      </c>
      <c r="D24" t="s">
        <v>35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16.2023932122624</v>
      </c>
      <c r="O24">
        <v>16.2023932122624</v>
      </c>
      <c r="P24">
        <v>13.07812930848913</v>
      </c>
      <c r="Q24">
        <v>16.2023932122624</v>
      </c>
      <c r="R24">
        <v>15.7356566784</v>
      </c>
      <c r="S24">
        <v>13.11099952131072</v>
      </c>
      <c r="T24">
        <v>13.11099952131072</v>
      </c>
    </row>
    <row r="25" spans="1:20" x14ac:dyDescent="0.25">
      <c r="A25" t="s">
        <v>3</v>
      </c>
      <c r="B25" t="s">
        <v>4</v>
      </c>
      <c r="C25" t="s">
        <v>28</v>
      </c>
      <c r="D25" t="s">
        <v>35</v>
      </c>
      <c r="E25">
        <v>0</v>
      </c>
      <c r="F25">
        <v>4.9806336000000009</v>
      </c>
      <c r="G25">
        <v>20.249380800000001</v>
      </c>
      <c r="H25">
        <v>38.813327999999998</v>
      </c>
      <c r="I25">
        <v>43.188775200000002</v>
      </c>
      <c r="J25">
        <v>45.087602399999987</v>
      </c>
      <c r="K25">
        <v>45.087602399999987</v>
      </c>
      <c r="L25">
        <v>70.368796799999984</v>
      </c>
      <c r="M25">
        <v>118.1991239999999</v>
      </c>
      <c r="N25">
        <v>129.83753686095361</v>
      </c>
      <c r="O25">
        <v>136.34387819428699</v>
      </c>
      <c r="P25">
        <v>174.79604076472691</v>
      </c>
      <c r="Q25">
        <v>183.54677686095351</v>
      </c>
      <c r="R25">
        <v>197.31815683187199</v>
      </c>
      <c r="S25">
        <v>210.3881705519052</v>
      </c>
      <c r="T25">
        <v>223.15927027272679</v>
      </c>
    </row>
    <row r="26" spans="1:20" x14ac:dyDescent="0.25">
      <c r="A26" t="s">
        <v>3</v>
      </c>
      <c r="B26" t="s">
        <v>4</v>
      </c>
      <c r="C26" t="s">
        <v>29</v>
      </c>
      <c r="D26" t="s">
        <v>34</v>
      </c>
      <c r="E26">
        <v>1.7613000000000001</v>
      </c>
      <c r="F26">
        <v>4.3856063999999986</v>
      </c>
      <c r="G26">
        <v>4.3267391999999996</v>
      </c>
      <c r="H26">
        <v>4.2678719999999997</v>
      </c>
      <c r="I26">
        <v>4.2090048000000007</v>
      </c>
      <c r="J26">
        <v>4.1501375999999999</v>
      </c>
      <c r="K26">
        <v>0.79079759999999866</v>
      </c>
      <c r="L26">
        <v>4.0324031999999983</v>
      </c>
      <c r="M26">
        <v>3.9735360000000011</v>
      </c>
      <c r="N26">
        <v>3.6792000000000011</v>
      </c>
      <c r="O26">
        <v>3.5320320000000009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t="s">
        <v>3</v>
      </c>
      <c r="B27" t="s">
        <v>4</v>
      </c>
      <c r="C27" t="s">
        <v>30</v>
      </c>
      <c r="D27" t="s">
        <v>35</v>
      </c>
      <c r="E27">
        <v>75.367565957311356</v>
      </c>
      <c r="F27">
        <v>75.367565957311342</v>
      </c>
      <c r="G27">
        <v>76.222035654133109</v>
      </c>
      <c r="H27">
        <v>76.222035654133109</v>
      </c>
      <c r="I27">
        <v>76.222035654133123</v>
      </c>
      <c r="J27">
        <v>76.134869187615635</v>
      </c>
      <c r="K27">
        <v>76.077209510667771</v>
      </c>
      <c r="L27">
        <v>91.374535654133098</v>
      </c>
      <c r="M27">
        <v>91.374535654133098</v>
      </c>
      <c r="N27">
        <v>91.374535654133126</v>
      </c>
      <c r="O27">
        <v>84.523832888284062</v>
      </c>
      <c r="P27">
        <v>68.595850000000056</v>
      </c>
      <c r="Q27">
        <v>68.595850000000027</v>
      </c>
      <c r="R27">
        <v>53.443350000000009</v>
      </c>
      <c r="S27">
        <v>0</v>
      </c>
      <c r="T27">
        <v>0</v>
      </c>
    </row>
    <row r="28" spans="1:20" x14ac:dyDescent="0.25">
      <c r="A28" t="s">
        <v>3</v>
      </c>
      <c r="B28" t="s">
        <v>4</v>
      </c>
      <c r="C28" t="s">
        <v>31</v>
      </c>
      <c r="D28" t="s">
        <v>35</v>
      </c>
      <c r="E28">
        <v>18.910434042688649</v>
      </c>
      <c r="F28">
        <v>37.954767376022012</v>
      </c>
      <c r="G28">
        <v>83.157964345866858</v>
      </c>
      <c r="H28">
        <v>92.97296434586687</v>
      </c>
      <c r="I28">
        <v>101.66546434586689</v>
      </c>
      <c r="J28">
        <v>98.97829016620976</v>
      </c>
      <c r="K28">
        <v>97.991290489332172</v>
      </c>
      <c r="L28">
        <v>101.66546434586689</v>
      </c>
      <c r="M28">
        <v>132.20067446161141</v>
      </c>
      <c r="N28">
        <v>136.9148652764311</v>
      </c>
      <c r="O28">
        <v>155.00022237959641</v>
      </c>
      <c r="P28">
        <v>262.69030384615382</v>
      </c>
      <c r="Q28">
        <v>333.86876538461519</v>
      </c>
      <c r="R28">
        <v>420.19972692307692</v>
      </c>
      <c r="S28">
        <v>544.82153846153835</v>
      </c>
      <c r="T28">
        <v>616</v>
      </c>
    </row>
    <row r="29" spans="1:20" x14ac:dyDescent="0.25">
      <c r="A29" t="s">
        <v>3</v>
      </c>
      <c r="B29" t="s">
        <v>4</v>
      </c>
      <c r="C29" t="s">
        <v>32</v>
      </c>
      <c r="D29" t="s">
        <v>35</v>
      </c>
      <c r="E29">
        <v>37.551173712102127</v>
      </c>
      <c r="F29">
        <v>38.089190207205611</v>
      </c>
      <c r="G29">
        <v>38.625089905259557</v>
      </c>
      <c r="H29">
        <v>22.84020447795741</v>
      </c>
      <c r="I29">
        <v>29.473889905259579</v>
      </c>
      <c r="J29">
        <v>18.299489905259591</v>
      </c>
      <c r="K29">
        <v>16.49163376977015</v>
      </c>
      <c r="L29">
        <v>15.068453272051171</v>
      </c>
      <c r="M29">
        <v>0</v>
      </c>
      <c r="N29">
        <v>2.04497403329162</v>
      </c>
      <c r="O29">
        <v>0.43062869903814871</v>
      </c>
      <c r="P29">
        <v>2.677647562304792</v>
      </c>
      <c r="Q29">
        <v>13.39455739340011</v>
      </c>
      <c r="R29">
        <v>20.942532039978119</v>
      </c>
      <c r="S29">
        <v>41.317742360437798</v>
      </c>
      <c r="T29">
        <v>85.544915347623004</v>
      </c>
    </row>
    <row r="32" spans="1:20" x14ac:dyDescent="0.25">
      <c r="D32" t="s">
        <v>44</v>
      </c>
      <c r="E32" cm="1">
        <f t="array" ref="E32:T32">E22:T22</f>
        <v>198.37</v>
      </c>
      <c r="F32">
        <v>212.30279999999999</v>
      </c>
      <c r="G32">
        <v>223.40450000000021</v>
      </c>
      <c r="H32">
        <v>221.29</v>
      </c>
      <c r="I32">
        <v>208.50232205901611</v>
      </c>
      <c r="J32">
        <v>223.29959885294511</v>
      </c>
      <c r="K32">
        <v>200.76</v>
      </c>
      <c r="L32">
        <v>209.88000000000011</v>
      </c>
      <c r="M32">
        <v>223.40450000000001</v>
      </c>
      <c r="N32">
        <v>215.94100000000009</v>
      </c>
      <c r="O32">
        <v>202.70083333333341</v>
      </c>
      <c r="P32">
        <v>136.5</v>
      </c>
      <c r="Q32">
        <v>135.625</v>
      </c>
      <c r="R32">
        <v>134.75</v>
      </c>
      <c r="S32">
        <v>133.875</v>
      </c>
      <c r="T32">
        <v>133</v>
      </c>
    </row>
    <row r="33" spans="4:20" x14ac:dyDescent="0.25">
      <c r="D33" t="s">
        <v>40</v>
      </c>
      <c r="E33" cm="1">
        <f t="array" ref="E33:T33">E2:T2+E4:T4</f>
        <v>7.3906200000000011</v>
      </c>
      <c r="F33">
        <v>8.7529199999999996</v>
      </c>
      <c r="G33">
        <v>13.289760000000005</v>
      </c>
      <c r="H33">
        <v>14.576040000000011</v>
      </c>
      <c r="I33">
        <v>14.341353488372095</v>
      </c>
      <c r="J33">
        <v>13.963847441860466</v>
      </c>
      <c r="K33">
        <v>13.142444651162791</v>
      </c>
      <c r="L33">
        <v>12.321041860465119</v>
      </c>
      <c r="M33">
        <v>11.499639069767445</v>
      </c>
      <c r="N33">
        <v>10.67823627906977</v>
      </c>
      <c r="O33">
        <v>10.267534883720932</v>
      </c>
      <c r="P33">
        <v>8.2140279069767423</v>
      </c>
      <c r="Q33">
        <v>6.1605209302325594</v>
      </c>
      <c r="R33">
        <v>4.1070139534883729</v>
      </c>
      <c r="S33">
        <v>2.0535069767441865</v>
      </c>
      <c r="T33">
        <v>0</v>
      </c>
    </row>
    <row r="34" spans="4:20" x14ac:dyDescent="0.25">
      <c r="D34" t="s">
        <v>41</v>
      </c>
      <c r="E34" cm="1">
        <f t="array" ref="E34:T34">E19:T19+E16:T16</f>
        <v>341.27640000000008</v>
      </c>
      <c r="F34">
        <v>434.87279999999998</v>
      </c>
      <c r="G34">
        <v>341.46359999999999</v>
      </c>
      <c r="H34">
        <v>263.90879999999999</v>
      </c>
      <c r="I34">
        <v>176.8040394140159</v>
      </c>
      <c r="J34">
        <v>157.20056085820619</v>
      </c>
      <c r="K34">
        <v>185.3705608582064</v>
      </c>
      <c r="L34">
        <v>212.80721347644871</v>
      </c>
      <c r="M34">
        <v>250.96877900745659</v>
      </c>
      <c r="N34">
        <v>144.39798261264659</v>
      </c>
      <c r="O34">
        <v>150.9254978651995</v>
      </c>
      <c r="P34">
        <v>136.9639618498347</v>
      </c>
      <c r="Q34">
        <v>124.21</v>
      </c>
      <c r="R34">
        <v>27.2</v>
      </c>
      <c r="S34">
        <v>16.100000000000001</v>
      </c>
      <c r="T34">
        <v>0</v>
      </c>
    </row>
    <row r="35" spans="4:20" x14ac:dyDescent="0.25">
      <c r="D35" t="s">
        <v>42</v>
      </c>
      <c r="E35" cm="1">
        <f t="array" ref="E35:T35">E26:T26</f>
        <v>1.7613000000000001</v>
      </c>
      <c r="F35">
        <v>4.3856063999999986</v>
      </c>
      <c r="G35">
        <v>4.3267391999999996</v>
      </c>
      <c r="H35">
        <v>4.2678719999999997</v>
      </c>
      <c r="I35">
        <v>4.2090048000000007</v>
      </c>
      <c r="J35">
        <v>4.1501375999999999</v>
      </c>
      <c r="K35">
        <v>0.79079759999999866</v>
      </c>
      <c r="L35">
        <v>4.0324031999999983</v>
      </c>
      <c r="M35">
        <v>3.9735360000000011</v>
      </c>
      <c r="N35">
        <v>3.6792000000000011</v>
      </c>
      <c r="O35">
        <v>3.5320320000000009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4:20" x14ac:dyDescent="0.25">
      <c r="D36" t="s">
        <v>43</v>
      </c>
      <c r="E36" cm="1">
        <f t="array" ref="E36:T36">E27:T27</f>
        <v>75.367565957311356</v>
      </c>
      <c r="F36">
        <v>75.367565957311342</v>
      </c>
      <c r="G36">
        <v>76.222035654133109</v>
      </c>
      <c r="H36">
        <v>76.222035654133109</v>
      </c>
      <c r="I36">
        <v>76.222035654133123</v>
      </c>
      <c r="J36">
        <v>76.134869187615635</v>
      </c>
      <c r="K36">
        <v>76.077209510667771</v>
      </c>
      <c r="L36">
        <v>91.374535654133098</v>
      </c>
      <c r="M36">
        <v>91.374535654133098</v>
      </c>
      <c r="N36">
        <v>91.374535654133126</v>
      </c>
      <c r="O36">
        <v>84.523832888284062</v>
      </c>
      <c r="P36">
        <v>68.595850000000056</v>
      </c>
      <c r="Q36">
        <v>68.595850000000027</v>
      </c>
      <c r="R36">
        <v>53.443350000000009</v>
      </c>
      <c r="S36">
        <v>0</v>
      </c>
      <c r="T36">
        <v>0</v>
      </c>
    </row>
    <row r="37" spans="4:20" x14ac:dyDescent="0.25">
      <c r="D37" t="s">
        <v>45</v>
      </c>
      <c r="E37" cm="1">
        <f t="array" ref="E37:T37">E11:T11</f>
        <v>266.70999999999998</v>
      </c>
      <c r="F37">
        <v>177.52780000000001</v>
      </c>
      <c r="G37">
        <v>92.385000000000062</v>
      </c>
      <c r="H37">
        <v>186.7415</v>
      </c>
      <c r="I37">
        <v>155.03999999999979</v>
      </c>
      <c r="J37">
        <v>120.9635000000002</v>
      </c>
      <c r="K37">
        <v>125.248</v>
      </c>
      <c r="L37">
        <v>13.90799999999996</v>
      </c>
      <c r="M37">
        <v>22.60999999999996</v>
      </c>
      <c r="N37">
        <v>4.7310000000000034</v>
      </c>
      <c r="O37">
        <v>3.071666666666673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4:20" x14ac:dyDescent="0.25">
      <c r="D38" t="s">
        <v>46</v>
      </c>
      <c r="E38" cm="1">
        <f t="array" ref="E38:T38">E20:T20</f>
        <v>66.628799999999998</v>
      </c>
      <c r="F38">
        <v>63.299879999999987</v>
      </c>
      <c r="G38">
        <v>59.623199999999997</v>
      </c>
      <c r="H38">
        <v>52.397819999999967</v>
      </c>
      <c r="I38">
        <v>48.293819999999997</v>
      </c>
      <c r="J38">
        <v>57.86981999999999</v>
      </c>
      <c r="K38">
        <v>49.583159999999999</v>
      </c>
      <c r="L38">
        <v>36.607680000000002</v>
      </c>
      <c r="M38">
        <v>36.217800000000011</v>
      </c>
      <c r="N38">
        <v>30.513999999999999</v>
      </c>
      <c r="O38">
        <v>27.01166666666667</v>
      </c>
      <c r="P38">
        <v>9.5</v>
      </c>
      <c r="Q38">
        <v>0</v>
      </c>
      <c r="R38">
        <v>0</v>
      </c>
      <c r="S38">
        <v>0</v>
      </c>
      <c r="T3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9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36</v>
      </c>
      <c r="E1" s="1">
        <v>2007</v>
      </c>
      <c r="F1" s="1">
        <v>2008</v>
      </c>
      <c r="G1" s="1">
        <v>2010</v>
      </c>
      <c r="H1" s="1">
        <v>2012</v>
      </c>
      <c r="I1" s="1">
        <v>2014</v>
      </c>
      <c r="J1" s="1">
        <v>2016</v>
      </c>
      <c r="K1" s="1">
        <v>2018</v>
      </c>
      <c r="L1" s="1">
        <v>2020</v>
      </c>
      <c r="M1" s="1">
        <v>2022</v>
      </c>
      <c r="N1" s="1">
        <v>2024</v>
      </c>
      <c r="O1" s="1">
        <v>2025</v>
      </c>
      <c r="P1" s="1">
        <v>2030</v>
      </c>
      <c r="Q1" s="1">
        <v>2035</v>
      </c>
      <c r="R1" s="1">
        <v>2040</v>
      </c>
      <c r="S1" s="1">
        <v>2045</v>
      </c>
      <c r="T1" s="1">
        <v>2050</v>
      </c>
    </row>
    <row r="2" spans="1:20" x14ac:dyDescent="0.25">
      <c r="A2" t="s">
        <v>3</v>
      </c>
      <c r="B2" t="s">
        <v>4</v>
      </c>
      <c r="C2" t="s">
        <v>5</v>
      </c>
      <c r="D2" t="s">
        <v>37</v>
      </c>
      <c r="E2">
        <v>3911.441860465116</v>
      </c>
      <c r="F2">
        <v>3911.441860465116</v>
      </c>
      <c r="G2">
        <v>3911.441860465116</v>
      </c>
      <c r="H2">
        <v>3715.8697674418599</v>
      </c>
      <c r="I2">
        <v>3520.297674418603</v>
      </c>
      <c r="J2">
        <v>3324.7255813953489</v>
      </c>
      <c r="K2">
        <v>3129.1534883720919</v>
      </c>
      <c r="L2">
        <v>2933.5813953488359</v>
      </c>
      <c r="M2">
        <v>2738.0093023255822</v>
      </c>
      <c r="N2">
        <v>2542.4372093023262</v>
      </c>
      <c r="O2">
        <v>2444.651162790698</v>
      </c>
      <c r="P2">
        <v>1955.720930232558</v>
      </c>
      <c r="Q2">
        <v>1466.7906976744191</v>
      </c>
      <c r="R2">
        <v>977.86046511627933</v>
      </c>
      <c r="S2">
        <v>488.93023255813938</v>
      </c>
      <c r="T2">
        <v>0</v>
      </c>
    </row>
    <row r="3" spans="1:20" x14ac:dyDescent="0.25">
      <c r="A3" t="s">
        <v>3</v>
      </c>
      <c r="B3" t="s">
        <v>4</v>
      </c>
      <c r="C3" t="s">
        <v>5</v>
      </c>
      <c r="D3" t="s">
        <v>38</v>
      </c>
      <c r="E3">
        <v>52.152558139534882</v>
      </c>
      <c r="F3">
        <v>52.152558139534882</v>
      </c>
      <c r="G3">
        <v>52.152558139534882</v>
      </c>
      <c r="H3">
        <v>49.544930232558123</v>
      </c>
      <c r="I3">
        <v>46.937302325581378</v>
      </c>
      <c r="J3">
        <v>44.32967441860464</v>
      </c>
      <c r="K3">
        <v>41.722046511627887</v>
      </c>
      <c r="L3">
        <v>39.114418604651163</v>
      </c>
      <c r="M3">
        <v>36.506790697674418</v>
      </c>
      <c r="N3">
        <v>33.899162790697673</v>
      </c>
      <c r="O3">
        <v>32.595348837209301</v>
      </c>
      <c r="P3">
        <v>26.076279069767441</v>
      </c>
      <c r="Q3">
        <v>19.557209302325582</v>
      </c>
      <c r="R3">
        <v>13.038139534883721</v>
      </c>
      <c r="S3">
        <v>6.5190697674418594</v>
      </c>
      <c r="T3">
        <v>0</v>
      </c>
    </row>
    <row r="4" spans="1:20" x14ac:dyDescent="0.25">
      <c r="A4" t="s">
        <v>3</v>
      </c>
      <c r="B4" t="s">
        <v>4</v>
      </c>
      <c r="C4" t="s">
        <v>6</v>
      </c>
      <c r="D4" t="s">
        <v>37</v>
      </c>
      <c r="E4">
        <v>0</v>
      </c>
      <c r="F4">
        <v>0</v>
      </c>
      <c r="G4">
        <v>0</v>
      </c>
      <c r="H4">
        <v>0</v>
      </c>
      <c r="I4">
        <v>1641.4103911205079</v>
      </c>
      <c r="J4">
        <v>2624.7298414376328</v>
      </c>
      <c r="K4">
        <v>3983.8522832980939</v>
      </c>
      <c r="L4">
        <v>7436.4191048611037</v>
      </c>
      <c r="M4">
        <v>6981.4790280621773</v>
      </c>
      <c r="N4">
        <v>6512.9353310954984</v>
      </c>
      <c r="O4">
        <v>7189.3029455546766</v>
      </c>
      <c r="P4">
        <v>10709.78906825241</v>
      </c>
      <c r="Q4">
        <v>12533.13208750695</v>
      </c>
      <c r="R4">
        <v>14027.45538003398</v>
      </c>
      <c r="S4">
        <v>15827.05726744186</v>
      </c>
      <c r="T4">
        <v>17812.5</v>
      </c>
    </row>
    <row r="5" spans="1:20" x14ac:dyDescent="0.25">
      <c r="A5" t="s">
        <v>3</v>
      </c>
      <c r="B5" t="s">
        <v>4</v>
      </c>
      <c r="C5" t="s">
        <v>6</v>
      </c>
      <c r="D5" t="s">
        <v>38</v>
      </c>
      <c r="E5">
        <v>0</v>
      </c>
      <c r="F5">
        <v>0</v>
      </c>
      <c r="G5">
        <v>0</v>
      </c>
      <c r="H5">
        <v>0</v>
      </c>
      <c r="I5">
        <v>21.885471881606769</v>
      </c>
      <c r="J5">
        <v>34.996397885835123</v>
      </c>
      <c r="K5">
        <v>53.118030443974583</v>
      </c>
      <c r="L5">
        <v>99.152254731481378</v>
      </c>
      <c r="M5">
        <v>93.086387040829024</v>
      </c>
      <c r="N5">
        <v>86.839137747939972</v>
      </c>
      <c r="O5">
        <v>95.857372607395689</v>
      </c>
      <c r="P5">
        <v>142.7971875766988</v>
      </c>
      <c r="Q5">
        <v>167.10842783342591</v>
      </c>
      <c r="R5">
        <v>187.0327384004531</v>
      </c>
      <c r="S5">
        <v>211.0274302325582</v>
      </c>
      <c r="T5">
        <v>237.50000000000011</v>
      </c>
    </row>
    <row r="6" spans="1:20" x14ac:dyDescent="0.25">
      <c r="A6" t="s">
        <v>3</v>
      </c>
      <c r="B6" t="s">
        <v>4</v>
      </c>
      <c r="C6" t="s">
        <v>7</v>
      </c>
      <c r="D6" t="s">
        <v>37</v>
      </c>
      <c r="E6">
        <v>311.17958855098379</v>
      </c>
      <c r="F6">
        <v>468.36805008944509</v>
      </c>
      <c r="G6">
        <v>991.84958855098398</v>
      </c>
      <c r="H6">
        <v>1167.3457245080499</v>
      </c>
      <c r="I6">
        <v>1167.3457245080499</v>
      </c>
      <c r="J6">
        <v>1150.866547406082</v>
      </c>
      <c r="K6">
        <v>1083.1685152057239</v>
      </c>
      <c r="L6">
        <v>1015.470483005367</v>
      </c>
      <c r="M6">
        <v>947.77245080500893</v>
      </c>
      <c r="N6">
        <v>880.0744186046511</v>
      </c>
      <c r="O6">
        <v>846.2254025044723</v>
      </c>
      <c r="P6">
        <v>676.98032200357784</v>
      </c>
      <c r="Q6">
        <v>507.73524150268338</v>
      </c>
      <c r="R6">
        <v>338.49016100178909</v>
      </c>
      <c r="S6">
        <v>169.2450805008946</v>
      </c>
      <c r="T6">
        <v>0</v>
      </c>
    </row>
    <row r="7" spans="1:20" x14ac:dyDescent="0.25">
      <c r="A7" t="s">
        <v>3</v>
      </c>
      <c r="B7" t="s">
        <v>4</v>
      </c>
      <c r="C7" t="s">
        <v>7</v>
      </c>
      <c r="D7" t="s">
        <v>38</v>
      </c>
      <c r="E7">
        <v>41.490611806797837</v>
      </c>
      <c r="F7">
        <v>62.449073345259343</v>
      </c>
      <c r="G7">
        <v>132.24661180679789</v>
      </c>
      <c r="H7">
        <v>155.64609660107331</v>
      </c>
      <c r="I7">
        <v>155.64609660107331</v>
      </c>
      <c r="J7">
        <v>153.44887298747761</v>
      </c>
      <c r="K7">
        <v>144.42246869409661</v>
      </c>
      <c r="L7">
        <v>135.39606440071549</v>
      </c>
      <c r="M7">
        <v>126.3696601073345</v>
      </c>
      <c r="N7">
        <v>117.3432558139535</v>
      </c>
      <c r="O7">
        <v>112.8300536672629</v>
      </c>
      <c r="P7">
        <v>90.264042933810359</v>
      </c>
      <c r="Q7">
        <v>67.698032200357773</v>
      </c>
      <c r="R7">
        <v>45.132021466905201</v>
      </c>
      <c r="S7">
        <v>22.566010733452611</v>
      </c>
      <c r="T7">
        <v>0</v>
      </c>
    </row>
    <row r="8" spans="1:20" x14ac:dyDescent="0.25">
      <c r="A8" t="s">
        <v>3</v>
      </c>
      <c r="B8" t="s">
        <v>4</v>
      </c>
      <c r="C8" t="s">
        <v>8</v>
      </c>
      <c r="D8" t="s">
        <v>37</v>
      </c>
      <c r="E8">
        <v>0</v>
      </c>
      <c r="F8">
        <v>0</v>
      </c>
      <c r="G8">
        <v>0</v>
      </c>
      <c r="H8">
        <v>0</v>
      </c>
      <c r="I8">
        <v>0.39565075130880001</v>
      </c>
      <c r="J8">
        <v>0.59347612696320007</v>
      </c>
      <c r="K8">
        <v>0.59347612696320007</v>
      </c>
      <c r="L8">
        <v>0.86006184576</v>
      </c>
      <c r="M8">
        <v>1.0837002279168</v>
      </c>
      <c r="N8">
        <v>1.2643169325696</v>
      </c>
      <c r="O8">
        <v>1.281060969919634</v>
      </c>
      <c r="P8">
        <v>0.83836825238400015</v>
      </c>
      <c r="Q8">
        <v>0.83836825238400026</v>
      </c>
      <c r="R8">
        <v>0.90290076864000024</v>
      </c>
      <c r="S8">
        <v>0.86612294260557887</v>
      </c>
      <c r="T8">
        <v>0.88579931368448028</v>
      </c>
    </row>
    <row r="9" spans="1:20" x14ac:dyDescent="0.25">
      <c r="A9" t="s">
        <v>3</v>
      </c>
      <c r="B9" t="s">
        <v>4</v>
      </c>
      <c r="C9" t="s">
        <v>8</v>
      </c>
      <c r="D9" t="s">
        <v>39</v>
      </c>
      <c r="E9">
        <v>0</v>
      </c>
      <c r="F9">
        <v>0</v>
      </c>
      <c r="G9">
        <v>0</v>
      </c>
      <c r="H9">
        <v>0</v>
      </c>
      <c r="I9">
        <v>170.73851652633601</v>
      </c>
      <c r="J9">
        <v>256.10777478950399</v>
      </c>
      <c r="K9">
        <v>256.10777478950399</v>
      </c>
      <c r="L9">
        <v>371.14976574719998</v>
      </c>
      <c r="M9">
        <v>467.6583291240961</v>
      </c>
      <c r="N9">
        <v>545.60138397811204</v>
      </c>
      <c r="O9">
        <v>552.82708009608803</v>
      </c>
      <c r="P9">
        <v>361.78814583648011</v>
      </c>
      <c r="Q9">
        <v>361.78814583648011</v>
      </c>
      <c r="R9">
        <v>389.63640862080001</v>
      </c>
      <c r="S9">
        <v>373.76536215517672</v>
      </c>
      <c r="T9">
        <v>382.25647305922558</v>
      </c>
    </row>
    <row r="10" spans="1:20" x14ac:dyDescent="0.25">
      <c r="A10" t="s">
        <v>3</v>
      </c>
      <c r="B10" t="s">
        <v>4</v>
      </c>
      <c r="C10" t="s">
        <v>8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1.6434723515903999</v>
      </c>
      <c r="J10">
        <v>2.465208527385601</v>
      </c>
      <c r="K10">
        <v>2.465208527385601</v>
      </c>
      <c r="L10">
        <v>3.5725645900799998</v>
      </c>
      <c r="M10">
        <v>4.501524023654401</v>
      </c>
      <c r="N10">
        <v>5.251778027596802</v>
      </c>
      <c r="O10">
        <v>5.3213301827430932</v>
      </c>
      <c r="P10">
        <v>3.4824527406720009</v>
      </c>
      <c r="Q10">
        <v>3.4824527406720009</v>
      </c>
      <c r="R10">
        <v>3.7505108851200011</v>
      </c>
      <c r="S10">
        <v>3.5977414539000971</v>
      </c>
      <c r="T10">
        <v>3.6794740722278401</v>
      </c>
    </row>
    <row r="11" spans="1:20" x14ac:dyDescent="0.25">
      <c r="A11" t="s">
        <v>3</v>
      </c>
      <c r="B11" t="s">
        <v>4</v>
      </c>
      <c r="C11" t="s">
        <v>9</v>
      </c>
      <c r="D11" t="s">
        <v>37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6.0936031815518517</v>
      </c>
      <c r="Q11">
        <v>6.4301439790079993</v>
      </c>
      <c r="R11">
        <v>6.3903126110185893</v>
      </c>
      <c r="S11">
        <v>5.6732739240959997</v>
      </c>
      <c r="T11">
        <v>3.3872010243763699</v>
      </c>
    </row>
    <row r="12" spans="1:20" x14ac:dyDescent="0.25">
      <c r="A12" t="s">
        <v>3</v>
      </c>
      <c r="B12" t="s">
        <v>4</v>
      </c>
      <c r="C12" t="s">
        <v>9</v>
      </c>
      <c r="D12" t="s">
        <v>39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2629.6241421927598</v>
      </c>
      <c r="Q12">
        <v>2774.8544401719141</v>
      </c>
      <c r="R12">
        <v>2757.6656729087908</v>
      </c>
      <c r="S12">
        <v>2448.235901090658</v>
      </c>
      <c r="T12">
        <v>1461.70751898088</v>
      </c>
    </row>
    <row r="13" spans="1:20" x14ac:dyDescent="0.25">
      <c r="A13" t="s">
        <v>3</v>
      </c>
      <c r="B13" t="s">
        <v>4</v>
      </c>
      <c r="C13" t="s">
        <v>9</v>
      </c>
      <c r="D13" t="s">
        <v>38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25.311890138753849</v>
      </c>
      <c r="Q13">
        <v>26.709828835879389</v>
      </c>
      <c r="R13">
        <v>26.544375461154139</v>
      </c>
      <c r="S13">
        <v>23.565907069321849</v>
      </c>
      <c r="T13">
        <v>14.06991194740954</v>
      </c>
    </row>
    <row r="14" spans="1:20" x14ac:dyDescent="0.25">
      <c r="A14" t="s">
        <v>3</v>
      </c>
      <c r="B14" t="s">
        <v>4</v>
      </c>
      <c r="C14" t="s">
        <v>10</v>
      </c>
      <c r="D14" t="s">
        <v>37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2.0056064050285709</v>
      </c>
      <c r="M14">
        <v>2.4954160161542278</v>
      </c>
      <c r="N14">
        <v>2.3162647198080002</v>
      </c>
      <c r="O14">
        <v>2.4817121997942859</v>
      </c>
      <c r="P14">
        <v>1.9550184036685709</v>
      </c>
      <c r="Q14">
        <v>1.9550184036685709</v>
      </c>
      <c r="R14">
        <v>1.9550184036685709</v>
      </c>
      <c r="S14">
        <v>1.9550184036685709</v>
      </c>
      <c r="T14">
        <v>1.9930356302253329</v>
      </c>
    </row>
    <row r="15" spans="1:20" x14ac:dyDescent="0.25">
      <c r="A15" t="s">
        <v>3</v>
      </c>
      <c r="B15" t="s">
        <v>4</v>
      </c>
      <c r="C15" t="s">
        <v>10</v>
      </c>
      <c r="D15" t="s">
        <v>39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865.49630247771438</v>
      </c>
      <c r="M15">
        <v>1076.8679885096331</v>
      </c>
      <c r="N15">
        <v>999.55731370176022</v>
      </c>
      <c r="O15">
        <v>1070.9542646804571</v>
      </c>
      <c r="P15">
        <v>843.66563419851445</v>
      </c>
      <c r="Q15">
        <v>843.66563419851445</v>
      </c>
      <c r="R15">
        <v>843.66563419851445</v>
      </c>
      <c r="S15">
        <v>843.66563419851445</v>
      </c>
      <c r="T15">
        <v>860.07152965877833</v>
      </c>
    </row>
    <row r="16" spans="1:20" x14ac:dyDescent="0.25">
      <c r="A16" t="s">
        <v>3</v>
      </c>
      <c r="B16" t="s">
        <v>4</v>
      </c>
      <c r="C16" t="s">
        <v>10</v>
      </c>
      <c r="D16" t="s">
        <v>38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8.3309804516571422</v>
      </c>
      <c r="M16">
        <v>10.36557422094833</v>
      </c>
      <c r="N16">
        <v>9.6214072976639997</v>
      </c>
      <c r="O16">
        <v>10.30865067606857</v>
      </c>
      <c r="P16">
        <v>8.1208456767771438</v>
      </c>
      <c r="Q16">
        <v>8.1208456767771438</v>
      </c>
      <c r="R16">
        <v>8.120845676777142</v>
      </c>
      <c r="S16">
        <v>8.1208456767771438</v>
      </c>
      <c r="T16">
        <v>8.278763387089846</v>
      </c>
    </row>
    <row r="17" spans="1:20" x14ac:dyDescent="0.25">
      <c r="A17" t="s">
        <v>3</v>
      </c>
      <c r="B17" t="s">
        <v>4</v>
      </c>
      <c r="C17" t="s">
        <v>11</v>
      </c>
      <c r="D17" t="s">
        <v>37</v>
      </c>
      <c r="E17">
        <v>0</v>
      </c>
      <c r="F17">
        <v>0</v>
      </c>
      <c r="G17">
        <v>0</v>
      </c>
      <c r="H17">
        <v>0</v>
      </c>
      <c r="I17">
        <v>0</v>
      </c>
      <c r="J17">
        <v>3.139640998034773</v>
      </c>
      <c r="K17">
        <v>3.139640998034773</v>
      </c>
      <c r="L17">
        <v>3.136578014226493</v>
      </c>
      <c r="M17">
        <v>3.1527096621371391</v>
      </c>
      <c r="N17">
        <v>2.6007489177397849</v>
      </c>
      <c r="O17">
        <v>2.6007489177397849</v>
      </c>
      <c r="P17">
        <v>2.0487919581988052</v>
      </c>
      <c r="Q17">
        <v>2.0487919581988061</v>
      </c>
      <c r="R17">
        <v>2.020984773324026</v>
      </c>
      <c r="S17">
        <v>1.941120554701413</v>
      </c>
      <c r="T17">
        <v>1.6829837313839331</v>
      </c>
    </row>
    <row r="18" spans="1:20" x14ac:dyDescent="0.25">
      <c r="A18" t="s">
        <v>3</v>
      </c>
      <c r="B18" t="s">
        <v>4</v>
      </c>
      <c r="C18" t="s">
        <v>11</v>
      </c>
      <c r="D18" t="s">
        <v>39</v>
      </c>
      <c r="E18">
        <v>0</v>
      </c>
      <c r="F18">
        <v>0</v>
      </c>
      <c r="G18">
        <v>0</v>
      </c>
      <c r="H18">
        <v>0</v>
      </c>
      <c r="I18">
        <v>0</v>
      </c>
      <c r="J18">
        <v>1354.8758460750059</v>
      </c>
      <c r="K18">
        <v>1354.8758460750059</v>
      </c>
      <c r="L18">
        <v>1353.554050754663</v>
      </c>
      <c r="M18">
        <v>1360.5154772761041</v>
      </c>
      <c r="N18">
        <v>1122.323186809246</v>
      </c>
      <c r="O18">
        <v>1122.323186809246</v>
      </c>
      <c r="P18">
        <v>884.13252965348465</v>
      </c>
      <c r="Q18">
        <v>884.13252965348465</v>
      </c>
      <c r="R18">
        <v>872.13265987290652</v>
      </c>
      <c r="S18">
        <v>837.66817783653278</v>
      </c>
      <c r="T18">
        <v>726.27221023568177</v>
      </c>
    </row>
    <row r="19" spans="1:20" x14ac:dyDescent="0.25">
      <c r="A19" t="s">
        <v>3</v>
      </c>
      <c r="B19" t="s">
        <v>4</v>
      </c>
      <c r="C19" t="s">
        <v>11</v>
      </c>
      <c r="D19" t="s">
        <v>38</v>
      </c>
      <c r="E19">
        <v>0</v>
      </c>
      <c r="F19">
        <v>0</v>
      </c>
      <c r="G19">
        <v>0</v>
      </c>
      <c r="H19">
        <v>0</v>
      </c>
      <c r="I19">
        <v>0</v>
      </c>
      <c r="J19">
        <v>13.04158568414444</v>
      </c>
      <c r="K19">
        <v>13.041585684144451</v>
      </c>
      <c r="L19">
        <v>13.028862520633121</v>
      </c>
      <c r="M19">
        <v>13.095870904261959</v>
      </c>
      <c r="N19">
        <v>10.803110889072959</v>
      </c>
      <c r="O19">
        <v>10.803110889072959</v>
      </c>
      <c r="P19">
        <v>8.5103665955950394</v>
      </c>
      <c r="Q19">
        <v>8.5103665955950394</v>
      </c>
      <c r="R19">
        <v>8.3948598276536455</v>
      </c>
      <c r="S19">
        <v>8.0631161502981765</v>
      </c>
      <c r="T19">
        <v>6.9908554995947982</v>
      </c>
    </row>
    <row r="20" spans="1:20" x14ac:dyDescent="0.25">
      <c r="A20" t="s">
        <v>3</v>
      </c>
      <c r="B20" t="s">
        <v>4</v>
      </c>
      <c r="C20" t="s">
        <v>12</v>
      </c>
      <c r="D20" t="s">
        <v>37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4.6228114719509579</v>
      </c>
      <c r="Q20">
        <v>4.6228114719509579</v>
      </c>
      <c r="R20">
        <v>10.379317931187421</v>
      </c>
      <c r="S20">
        <v>10.379317931187421</v>
      </c>
      <c r="T20">
        <v>8.1376332194884959</v>
      </c>
    </row>
    <row r="21" spans="1:20" x14ac:dyDescent="0.25">
      <c r="A21" t="s">
        <v>3</v>
      </c>
      <c r="B21" t="s">
        <v>4</v>
      </c>
      <c r="C21" t="s">
        <v>12</v>
      </c>
      <c r="D21" t="s">
        <v>39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1994.9209505880669</v>
      </c>
      <c r="Q21">
        <v>1994.9209505880669</v>
      </c>
      <c r="R21">
        <v>4479.0748918431846</v>
      </c>
      <c r="S21">
        <v>4479.0748918431846</v>
      </c>
      <c r="T21">
        <v>3511.7017201023441</v>
      </c>
    </row>
    <row r="22" spans="1:20" x14ac:dyDescent="0.25">
      <c r="A22" t="s">
        <v>3</v>
      </c>
      <c r="B22" t="s">
        <v>4</v>
      </c>
      <c r="C22" t="s">
        <v>12</v>
      </c>
      <c r="D22" t="s">
        <v>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19.202447652719361</v>
      </c>
      <c r="Q22">
        <v>19.202447652719361</v>
      </c>
      <c r="R22">
        <v>43.114089868009273</v>
      </c>
      <c r="S22">
        <v>43.114089868009273</v>
      </c>
      <c r="T22">
        <v>33.802476450182979</v>
      </c>
    </row>
    <row r="23" spans="1:20" x14ac:dyDescent="0.25">
      <c r="A23" t="s">
        <v>3</v>
      </c>
      <c r="B23" t="s">
        <v>4</v>
      </c>
      <c r="C23" t="s">
        <v>13</v>
      </c>
      <c r="D23" t="s">
        <v>37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1.9129762993800861</v>
      </c>
      <c r="R23">
        <v>5.4674032864344397</v>
      </c>
      <c r="S23">
        <v>5.249853727165994</v>
      </c>
      <c r="T23">
        <v>2.7009564774413519</v>
      </c>
    </row>
    <row r="24" spans="1:20" x14ac:dyDescent="0.25">
      <c r="A24" t="s">
        <v>3</v>
      </c>
      <c r="B24" t="s">
        <v>4</v>
      </c>
      <c r="C24" t="s">
        <v>13</v>
      </c>
      <c r="D24" t="s">
        <v>39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825.522849194022</v>
      </c>
      <c r="R24">
        <v>2359.394802838247</v>
      </c>
      <c r="S24">
        <v>2265.5138007231708</v>
      </c>
      <c r="T24">
        <v>1165.5666029573831</v>
      </c>
    </row>
    <row r="25" spans="1:20" x14ac:dyDescent="0.25">
      <c r="A25" t="s">
        <v>3</v>
      </c>
      <c r="B25" t="s">
        <v>4</v>
      </c>
      <c r="C25" t="s">
        <v>13</v>
      </c>
      <c r="D25" t="s">
        <v>38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7.9462092435788207</v>
      </c>
      <c r="R25">
        <v>22.710752112881519</v>
      </c>
      <c r="S25">
        <v>21.807084712843359</v>
      </c>
      <c r="T25">
        <v>11.219357675525609</v>
      </c>
    </row>
    <row r="26" spans="1:20" x14ac:dyDescent="0.25">
      <c r="A26" t="s">
        <v>3</v>
      </c>
      <c r="B26" t="s">
        <v>4</v>
      </c>
      <c r="C26" t="s">
        <v>14</v>
      </c>
      <c r="D26" t="s">
        <v>37</v>
      </c>
      <c r="E26">
        <v>851.99027777777792</v>
      </c>
      <c r="F26">
        <v>567.10269444444464</v>
      </c>
      <c r="G26">
        <v>295.11875000000009</v>
      </c>
      <c r="H26">
        <v>596.53534722222219</v>
      </c>
      <c r="I26">
        <v>495.26666666666608</v>
      </c>
      <c r="J26">
        <v>386.41118055555597</v>
      </c>
      <c r="K26">
        <v>400.09777777777759</v>
      </c>
      <c r="L26">
        <v>44.4283333333332</v>
      </c>
      <c r="M26">
        <v>72.226388888888764</v>
      </c>
      <c r="N26">
        <v>15.112916666666671</v>
      </c>
      <c r="O26">
        <v>9.8122685185185397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t="s">
        <v>3</v>
      </c>
      <c r="B27" t="s">
        <v>4</v>
      </c>
      <c r="C27" t="s">
        <v>14</v>
      </c>
      <c r="D27" t="s">
        <v>39</v>
      </c>
      <c r="E27">
        <v>74945.510000000009</v>
      </c>
      <c r="F27">
        <v>49885.31180000001</v>
      </c>
      <c r="G27">
        <v>25960.185000000019</v>
      </c>
      <c r="H27">
        <v>52474.361500000014</v>
      </c>
      <c r="I27">
        <v>43566.239999999947</v>
      </c>
      <c r="J27">
        <v>33990.743500000048</v>
      </c>
      <c r="K27">
        <v>35194.687999999987</v>
      </c>
      <c r="L27">
        <v>3908.1479999999892</v>
      </c>
      <c r="M27">
        <v>6353.4099999999908</v>
      </c>
      <c r="N27">
        <v>1329.411000000001</v>
      </c>
      <c r="O27">
        <v>863.13833333333525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25">
      <c r="A28" t="s">
        <v>3</v>
      </c>
      <c r="B28" t="s">
        <v>4</v>
      </c>
      <c r="C28" t="s">
        <v>14</v>
      </c>
      <c r="D28" t="s">
        <v>38</v>
      </c>
      <c r="E28">
        <v>1415.0447222222219</v>
      </c>
      <c r="F28">
        <v>941.88360555555585</v>
      </c>
      <c r="G28">
        <v>490.15375000000029</v>
      </c>
      <c r="H28">
        <v>990.76740277777799</v>
      </c>
      <c r="I28">
        <v>822.57333333333258</v>
      </c>
      <c r="J28">
        <v>641.77856944444522</v>
      </c>
      <c r="K28">
        <v>664.51022222222196</v>
      </c>
      <c r="L28">
        <v>73.789666666666449</v>
      </c>
      <c r="M28">
        <v>119.9586111111109</v>
      </c>
      <c r="N28">
        <v>25.100583333333351</v>
      </c>
      <c r="O28">
        <v>16.29689814814818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t="s">
        <v>3</v>
      </c>
      <c r="B29" t="s">
        <v>4</v>
      </c>
      <c r="C29" t="s">
        <v>15</v>
      </c>
      <c r="D29" t="s">
        <v>37</v>
      </c>
      <c r="E29">
        <v>0</v>
      </c>
      <c r="F29">
        <v>6.5029761904761916</v>
      </c>
      <c r="G29">
        <v>6.5029761904761907</v>
      </c>
      <c r="H29">
        <v>13.005952380952371</v>
      </c>
      <c r="I29">
        <v>13.00595238095238</v>
      </c>
      <c r="J29">
        <v>19.508928571428569</v>
      </c>
      <c r="K29">
        <v>19.508928571428569</v>
      </c>
      <c r="L29">
        <v>19.508928571428569</v>
      </c>
      <c r="M29">
        <v>19.508928571428569</v>
      </c>
      <c r="N29">
        <v>19.508928571428569</v>
      </c>
      <c r="O29">
        <v>19.508928571428569</v>
      </c>
      <c r="P29">
        <v>5.2023809523809517</v>
      </c>
      <c r="Q29">
        <v>3.901785714285714</v>
      </c>
      <c r="R29">
        <v>2.6011904761904758</v>
      </c>
      <c r="S29">
        <v>1.3005952380952379</v>
      </c>
      <c r="T29">
        <v>0</v>
      </c>
    </row>
    <row r="30" spans="1:20" x14ac:dyDescent="0.25">
      <c r="A30" t="s">
        <v>3</v>
      </c>
      <c r="B30" t="s">
        <v>4</v>
      </c>
      <c r="C30" t="s">
        <v>15</v>
      </c>
      <c r="D30" t="s">
        <v>39</v>
      </c>
      <c r="E30">
        <v>0</v>
      </c>
      <c r="F30">
        <v>572.03571428571422</v>
      </c>
      <c r="G30">
        <v>572.03571428571433</v>
      </c>
      <c r="H30">
        <v>1144.0714285714271</v>
      </c>
      <c r="I30">
        <v>1144.071428571428</v>
      </c>
      <c r="J30">
        <v>1716.1071428571429</v>
      </c>
      <c r="K30">
        <v>1716.1071428571429</v>
      </c>
      <c r="L30">
        <v>1716.1071428571429</v>
      </c>
      <c r="M30">
        <v>1716.1071428571429</v>
      </c>
      <c r="N30">
        <v>1716.1071428571429</v>
      </c>
      <c r="O30">
        <v>1716.1071428571429</v>
      </c>
      <c r="P30">
        <v>457.62857142857132</v>
      </c>
      <c r="Q30">
        <v>343.22142857142859</v>
      </c>
      <c r="R30">
        <v>228.8142857142858</v>
      </c>
      <c r="S30">
        <v>114.4071428571428</v>
      </c>
      <c r="T30">
        <v>0</v>
      </c>
    </row>
    <row r="31" spans="1:20" x14ac:dyDescent="0.25">
      <c r="A31" t="s">
        <v>3</v>
      </c>
      <c r="B31" t="s">
        <v>4</v>
      </c>
      <c r="C31" t="s">
        <v>15</v>
      </c>
      <c r="D31" t="s">
        <v>38</v>
      </c>
      <c r="E31">
        <v>0</v>
      </c>
      <c r="F31">
        <v>10.800595238095241</v>
      </c>
      <c r="G31">
        <v>10.800595238095241</v>
      </c>
      <c r="H31">
        <v>21.60119047619045</v>
      </c>
      <c r="I31">
        <v>21.601190476190482</v>
      </c>
      <c r="J31">
        <v>32.401785714285708</v>
      </c>
      <c r="K31">
        <v>32.401785714285708</v>
      </c>
      <c r="L31">
        <v>32.401785714285722</v>
      </c>
      <c r="M31">
        <v>32.401785714285708</v>
      </c>
      <c r="N31">
        <v>32.401785714285722</v>
      </c>
      <c r="O31">
        <v>32.401785714285708</v>
      </c>
      <c r="P31">
        <v>8.6404761904761873</v>
      </c>
      <c r="Q31">
        <v>6.4803571428571427</v>
      </c>
      <c r="R31">
        <v>4.3202380952380954</v>
      </c>
      <c r="S31">
        <v>2.1601190476190482</v>
      </c>
      <c r="T31">
        <v>0</v>
      </c>
    </row>
    <row r="32" spans="1:20" x14ac:dyDescent="0.25">
      <c r="A32" t="s">
        <v>3</v>
      </c>
      <c r="B32" t="s">
        <v>4</v>
      </c>
      <c r="C32" t="s">
        <v>19</v>
      </c>
      <c r="D32" t="s">
        <v>37</v>
      </c>
      <c r="E32">
        <v>80.665330909090912</v>
      </c>
      <c r="F32">
        <v>102.78811636363631</v>
      </c>
      <c r="G32">
        <v>80.709578181818159</v>
      </c>
      <c r="H32">
        <v>62.378443636363627</v>
      </c>
      <c r="I32">
        <v>41.790045679676503</v>
      </c>
      <c r="J32">
        <v>37.156496202848729</v>
      </c>
      <c r="K32">
        <v>43.814859839212431</v>
      </c>
      <c r="L32">
        <v>50.299886821706053</v>
      </c>
      <c r="M32">
        <v>59.319893219944298</v>
      </c>
      <c r="N32">
        <v>34.130432253898277</v>
      </c>
      <c r="O32">
        <v>35.673299495410781</v>
      </c>
      <c r="P32">
        <v>32.373300073597292</v>
      </c>
      <c r="Q32">
        <v>29.358727272727279</v>
      </c>
      <c r="R32">
        <v>6.4290909090909087</v>
      </c>
      <c r="S32">
        <v>3.2145454545454539</v>
      </c>
      <c r="T32">
        <v>0</v>
      </c>
    </row>
    <row r="33" spans="1:20" x14ac:dyDescent="0.25">
      <c r="A33" t="s">
        <v>3</v>
      </c>
      <c r="B33" t="s">
        <v>4</v>
      </c>
      <c r="C33" t="s">
        <v>19</v>
      </c>
      <c r="D33" t="s">
        <v>39</v>
      </c>
      <c r="E33">
        <v>34810.192799999997</v>
      </c>
      <c r="F33">
        <v>44357.025599999994</v>
      </c>
      <c r="G33">
        <v>34829.287199999992</v>
      </c>
      <c r="H33">
        <v>26918.6976</v>
      </c>
      <c r="I33">
        <v>18034.012020229631</v>
      </c>
      <c r="J33">
        <v>16034.457207537031</v>
      </c>
      <c r="K33">
        <v>18907.797207537049</v>
      </c>
      <c r="L33">
        <v>21706.335774597759</v>
      </c>
      <c r="M33">
        <v>25598.815458760579</v>
      </c>
      <c r="N33">
        <v>14728.59422648995</v>
      </c>
      <c r="O33">
        <v>15394.400782250341</v>
      </c>
      <c r="P33">
        <v>13970.32410868314</v>
      </c>
      <c r="Q33">
        <v>12669.42</v>
      </c>
      <c r="R33">
        <v>2774.4</v>
      </c>
      <c r="S33">
        <v>1387.2</v>
      </c>
      <c r="T33">
        <v>0</v>
      </c>
    </row>
    <row r="34" spans="1:20" x14ac:dyDescent="0.25">
      <c r="A34" t="s">
        <v>3</v>
      </c>
      <c r="B34" t="s">
        <v>4</v>
      </c>
      <c r="C34" t="s">
        <v>19</v>
      </c>
      <c r="D34" t="s">
        <v>38</v>
      </c>
      <c r="E34">
        <v>335.0713745454546</v>
      </c>
      <c r="F34">
        <v>426.96602181818179</v>
      </c>
      <c r="G34">
        <v>335.25517090909091</v>
      </c>
      <c r="H34">
        <v>259.11045818181822</v>
      </c>
      <c r="I34">
        <v>173.58942051557929</v>
      </c>
      <c r="J34">
        <v>154.34236884260241</v>
      </c>
      <c r="K34">
        <v>182.00018702442091</v>
      </c>
      <c r="L34">
        <v>208.9379914132405</v>
      </c>
      <c r="M34">
        <v>246.40571029823019</v>
      </c>
      <c r="N34">
        <v>141.7725647469621</v>
      </c>
      <c r="O34">
        <v>148.18139790401401</v>
      </c>
      <c r="P34">
        <v>134.47370799801951</v>
      </c>
      <c r="Q34">
        <v>121.9516363636364</v>
      </c>
      <c r="R34">
        <v>26.70545454545454</v>
      </c>
      <c r="S34">
        <v>13.35272727272727</v>
      </c>
      <c r="T34">
        <v>0</v>
      </c>
    </row>
    <row r="35" spans="1:20" x14ac:dyDescent="0.25">
      <c r="A35" t="s">
        <v>3</v>
      </c>
      <c r="B35" t="s">
        <v>4</v>
      </c>
      <c r="C35" t="s">
        <v>20</v>
      </c>
      <c r="D35" t="s">
        <v>37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3.5164879272052891</v>
      </c>
      <c r="R35">
        <v>11.8638783082221</v>
      </c>
      <c r="S35">
        <v>12.062601849013131</v>
      </c>
      <c r="T35">
        <v>4.1842521434798261</v>
      </c>
    </row>
    <row r="36" spans="1:20" x14ac:dyDescent="0.25">
      <c r="A36" t="s">
        <v>3</v>
      </c>
      <c r="B36" t="s">
        <v>4</v>
      </c>
      <c r="C36" t="s">
        <v>20</v>
      </c>
      <c r="D36" t="s">
        <v>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1517.4997901247441</v>
      </c>
      <c r="R36">
        <v>5119.7197930096909</v>
      </c>
      <c r="S36">
        <v>5205.4766440741296</v>
      </c>
      <c r="T36">
        <v>1805.6657326862939</v>
      </c>
    </row>
    <row r="37" spans="1:20" x14ac:dyDescent="0.25">
      <c r="A37" t="s">
        <v>3</v>
      </c>
      <c r="B37" t="s">
        <v>4</v>
      </c>
      <c r="C37" t="s">
        <v>20</v>
      </c>
      <c r="D37" t="s">
        <v>38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14.606949851468119</v>
      </c>
      <c r="R37">
        <v>49.280725280307202</v>
      </c>
      <c r="S37">
        <v>50.106192295900719</v>
      </c>
      <c r="T37">
        <v>17.380739672916199</v>
      </c>
    </row>
    <row r="38" spans="1:20" x14ac:dyDescent="0.25">
      <c r="A38" t="s">
        <v>3</v>
      </c>
      <c r="B38" t="s">
        <v>4</v>
      </c>
      <c r="C38" t="s">
        <v>21</v>
      </c>
      <c r="D38" t="s">
        <v>37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5.468529491654345</v>
      </c>
      <c r="S38">
        <v>0.70997431344459305</v>
      </c>
      <c r="T38">
        <v>23.61615904638872</v>
      </c>
    </row>
    <row r="39" spans="1:20" x14ac:dyDescent="0.25">
      <c r="A39" t="s">
        <v>3</v>
      </c>
      <c r="B39" t="s">
        <v>4</v>
      </c>
      <c r="C39" t="s">
        <v>21</v>
      </c>
      <c r="D39" t="s">
        <v>39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2359.8808037062222</v>
      </c>
      <c r="S39">
        <v>306.3812229557052</v>
      </c>
      <c r="T39">
        <v>10191.28094232621</v>
      </c>
    </row>
    <row r="40" spans="1:20" x14ac:dyDescent="0.25">
      <c r="A40" t="s">
        <v>3</v>
      </c>
      <c r="B40" t="s">
        <v>4</v>
      </c>
      <c r="C40" t="s">
        <v>21</v>
      </c>
      <c r="D40" t="s">
        <v>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22.71543019610267</v>
      </c>
      <c r="S40">
        <v>2.949124071231386</v>
      </c>
      <c r="T40">
        <v>98.097891423460851</v>
      </c>
    </row>
    <row r="41" spans="1:20" x14ac:dyDescent="0.25">
      <c r="A41" t="s">
        <v>3</v>
      </c>
      <c r="B41" t="s">
        <v>4</v>
      </c>
      <c r="C41" t="s">
        <v>22</v>
      </c>
      <c r="D41" t="s">
        <v>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0.77380952380952384</v>
      </c>
      <c r="T41">
        <v>0</v>
      </c>
    </row>
    <row r="42" spans="1:20" x14ac:dyDescent="0.25">
      <c r="A42" t="s">
        <v>3</v>
      </c>
      <c r="B42" t="s">
        <v>4</v>
      </c>
      <c r="C42" t="s">
        <v>22</v>
      </c>
      <c r="D42" t="s">
        <v>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333.92857142857139</v>
      </c>
      <c r="T42">
        <v>0</v>
      </c>
    </row>
    <row r="43" spans="1:20" x14ac:dyDescent="0.25">
      <c r="A43" t="s">
        <v>3</v>
      </c>
      <c r="B43" t="s">
        <v>4</v>
      </c>
      <c r="C43" t="s">
        <v>22</v>
      </c>
      <c r="D43" t="s">
        <v>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3.214285714285714</v>
      </c>
      <c r="T43">
        <v>0</v>
      </c>
    </row>
    <row r="44" spans="1:20" x14ac:dyDescent="0.25">
      <c r="A44" t="s">
        <v>3</v>
      </c>
      <c r="B44" t="s">
        <v>4</v>
      </c>
      <c r="C44" t="s">
        <v>23</v>
      </c>
      <c r="D44" t="s">
        <v>37</v>
      </c>
      <c r="E44">
        <v>134.92331999999999</v>
      </c>
      <c r="F44">
        <v>128.18225699999999</v>
      </c>
      <c r="G44">
        <v>120.73698</v>
      </c>
      <c r="H44">
        <v>106.1055855</v>
      </c>
      <c r="I44">
        <v>97.794985499999996</v>
      </c>
      <c r="J44">
        <v>117.1863855</v>
      </c>
      <c r="K44">
        <v>100.40589900000001</v>
      </c>
      <c r="L44">
        <v>74.130551999999994</v>
      </c>
      <c r="M44">
        <v>73.341045000000008</v>
      </c>
      <c r="N44">
        <v>61.790849999999992</v>
      </c>
      <c r="O44">
        <v>54.698625</v>
      </c>
      <c r="P44">
        <v>19.237500000000001</v>
      </c>
      <c r="Q44">
        <v>0</v>
      </c>
      <c r="R44">
        <v>0</v>
      </c>
      <c r="S44">
        <v>0</v>
      </c>
      <c r="T44">
        <v>0</v>
      </c>
    </row>
    <row r="45" spans="1:20" x14ac:dyDescent="0.25">
      <c r="A45" t="s">
        <v>3</v>
      </c>
      <c r="B45" t="s">
        <v>4</v>
      </c>
      <c r="C45" t="s">
        <v>23</v>
      </c>
      <c r="D45" t="s">
        <v>39</v>
      </c>
      <c r="E45">
        <v>13250.802600000001</v>
      </c>
      <c r="F45">
        <v>12588.763634999999</v>
      </c>
      <c r="G45">
        <v>11857.563899999999</v>
      </c>
      <c r="H45">
        <v>10420.616452499989</v>
      </c>
      <c r="I45">
        <v>9604.4334524999977</v>
      </c>
      <c r="J45">
        <v>11508.860452499999</v>
      </c>
      <c r="K45">
        <v>9860.8509449999983</v>
      </c>
      <c r="L45">
        <v>7280.352359999999</v>
      </c>
      <c r="M45">
        <v>7202.8149749999993</v>
      </c>
      <c r="N45">
        <v>6068.4717499999979</v>
      </c>
      <c r="O45">
        <v>5371.9452083333344</v>
      </c>
      <c r="P45">
        <v>1889.3125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 t="s">
        <v>3</v>
      </c>
      <c r="B46" t="s">
        <v>4</v>
      </c>
      <c r="C46" t="s">
        <v>23</v>
      </c>
      <c r="D46" t="s">
        <v>38</v>
      </c>
      <c r="E46">
        <v>529.69896000000006</v>
      </c>
      <c r="F46">
        <v>503.23404599999992</v>
      </c>
      <c r="G46">
        <v>474.00443999999999</v>
      </c>
      <c r="H46">
        <v>416.56266899999991</v>
      </c>
      <c r="I46">
        <v>383.93586900000003</v>
      </c>
      <c r="J46">
        <v>460.06506899999999</v>
      </c>
      <c r="K46">
        <v>394.18612200000001</v>
      </c>
      <c r="L46">
        <v>291.03105599999998</v>
      </c>
      <c r="M46">
        <v>287.93151000000012</v>
      </c>
      <c r="N46">
        <v>242.58629999999999</v>
      </c>
      <c r="O46">
        <v>214.74275</v>
      </c>
      <c r="P46">
        <v>75.52500000000002</v>
      </c>
      <c r="Q46">
        <v>0</v>
      </c>
      <c r="R46">
        <v>0</v>
      </c>
      <c r="S46">
        <v>0</v>
      </c>
      <c r="T46">
        <v>0</v>
      </c>
    </row>
    <row r="47" spans="1:20" x14ac:dyDescent="0.25">
      <c r="A47" t="s">
        <v>3</v>
      </c>
      <c r="B47" t="s">
        <v>4</v>
      </c>
      <c r="C47" t="s">
        <v>24</v>
      </c>
      <c r="D47" t="s">
        <v>37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13.57402880549683</v>
      </c>
      <c r="R47">
        <v>9.0493525369978869</v>
      </c>
      <c r="S47">
        <v>4.5246762684989417</v>
      </c>
      <c r="T47">
        <v>0</v>
      </c>
    </row>
    <row r="48" spans="1:20" x14ac:dyDescent="0.25">
      <c r="A48" t="s">
        <v>3</v>
      </c>
      <c r="B48" t="s">
        <v>4</v>
      </c>
      <c r="C48" t="s">
        <v>24</v>
      </c>
      <c r="D48" t="s">
        <v>39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1333.103693181818</v>
      </c>
      <c r="R48">
        <v>888.7357954545455</v>
      </c>
      <c r="S48">
        <v>444.36789772727252</v>
      </c>
      <c r="T48">
        <v>0</v>
      </c>
    </row>
    <row r="49" spans="1:20" x14ac:dyDescent="0.25">
      <c r="A49" t="s">
        <v>3</v>
      </c>
      <c r="B49" t="s">
        <v>4</v>
      </c>
      <c r="C49" t="s">
        <v>24</v>
      </c>
      <c r="D49" t="s">
        <v>38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53.290631606765338</v>
      </c>
      <c r="R49">
        <v>35.527087737843551</v>
      </c>
      <c r="S49">
        <v>17.763543868921769</v>
      </c>
      <c r="T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Output_CapacityByPeriodAndTech</vt:lpstr>
      <vt:lpstr>Output_VFlow_Out</vt:lpstr>
      <vt:lpstr>Output_Emissions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MAFFIODO RICCARDO VITTORIO</cp:lastModifiedBy>
  <dcterms:created xsi:type="dcterms:W3CDTF">2026-06-12T18:27:20Z</dcterms:created>
  <dcterms:modified xsi:type="dcterms:W3CDTF">2026-06-14T19:06:13Z</dcterms:modified>
</cp:coreProperties>
</file>
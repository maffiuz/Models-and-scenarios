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TEMOA\PROJECT\Models-and-scenarios\"/>
    </mc:Choice>
  </mc:AlternateContent>
  <xr:revisionPtr revIDLastSave="0" documentId="13_ncr:1_{F5059C8F-F8E4-4E8B-A6B8-968FAA586DFF}" xr6:coauthVersionLast="47" xr6:coauthVersionMax="47" xr10:uidLastSave="{00000000-0000-0000-0000-000000000000}"/>
  <bookViews>
    <workbookView xWindow="-108" yWindow="-108" windowWidth="23256" windowHeight="12456" firstSheet="1" activeTab="6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  <sheet name="Cal_Emission" sheetId="6" r:id="rId6"/>
    <sheet name="Cal_Gener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7" l="1"/>
  <c r="E30" i="7"/>
  <c r="F30" i="7"/>
  <c r="G30" i="7"/>
  <c r="H30" i="7"/>
  <c r="D31" i="7"/>
  <c r="E31" i="7"/>
  <c r="E58" i="7" s="1"/>
  <c r="F31" i="7"/>
  <c r="F58" i="7" s="1"/>
  <c r="G31" i="7"/>
  <c r="H31" i="7"/>
  <c r="D32" i="7"/>
  <c r="D59" i="7" s="1"/>
  <c r="E32" i="7"/>
  <c r="E59" i="7" s="1"/>
  <c r="F32" i="7"/>
  <c r="F59" i="7" s="1"/>
  <c r="G32" i="7"/>
  <c r="G59" i="7" s="1"/>
  <c r="H32" i="7"/>
  <c r="H59" i="7" s="1"/>
  <c r="D33" i="7"/>
  <c r="D60" i="7" s="1"/>
  <c r="E33" i="7"/>
  <c r="F33" i="7"/>
  <c r="G33" i="7"/>
  <c r="G60" i="7" s="1"/>
  <c r="H33" i="7"/>
  <c r="H60" i="7" s="1"/>
  <c r="D34" i="7"/>
  <c r="D61" i="7" s="1"/>
  <c r="E34" i="7"/>
  <c r="E61" i="7" s="1"/>
  <c r="F34" i="7"/>
  <c r="F61" i="7" s="1"/>
  <c r="G34" i="7"/>
  <c r="G61" i="7" s="1"/>
  <c r="H34" i="7"/>
  <c r="D35" i="7"/>
  <c r="E35" i="7"/>
  <c r="F35" i="7"/>
  <c r="F62" i="7" s="1"/>
  <c r="G35" i="7"/>
  <c r="G62" i="7" s="1"/>
  <c r="H35" i="7"/>
  <c r="H62" i="7" s="1"/>
  <c r="D36" i="7"/>
  <c r="D63" i="7" s="1"/>
  <c r="E36" i="7"/>
  <c r="E63" i="7" s="1"/>
  <c r="F36" i="7"/>
  <c r="G36" i="7"/>
  <c r="H36" i="7"/>
  <c r="D37" i="7"/>
  <c r="E37" i="7"/>
  <c r="F37" i="7"/>
  <c r="G37" i="7"/>
  <c r="H37" i="7"/>
  <c r="D38" i="7"/>
  <c r="E38" i="7"/>
  <c r="F38" i="7"/>
  <c r="G38" i="7"/>
  <c r="H38" i="7"/>
  <c r="C38" i="7"/>
  <c r="C65" i="7" s="1"/>
  <c r="C37" i="7"/>
  <c r="C36" i="7"/>
  <c r="C35" i="7"/>
  <c r="C34" i="7"/>
  <c r="C33" i="7"/>
  <c r="C32" i="7"/>
  <c r="C31" i="7"/>
  <c r="C30" i="7"/>
  <c r="C57" i="7" s="1"/>
  <c r="C61" i="7"/>
  <c r="C60" i="7"/>
  <c r="C58" i="7"/>
  <c r="F57" i="7"/>
  <c r="G57" i="7"/>
  <c r="H57" i="7"/>
  <c r="D58" i="7"/>
  <c r="G58" i="7"/>
  <c r="H58" i="7"/>
  <c r="E60" i="7"/>
  <c r="D62" i="7"/>
  <c r="E62" i="7"/>
  <c r="F63" i="7"/>
  <c r="G63" i="7"/>
  <c r="H63" i="7"/>
  <c r="D65" i="7"/>
  <c r="E65" i="7"/>
  <c r="F65" i="7"/>
  <c r="G65" i="7"/>
  <c r="H65" i="7"/>
  <c r="C63" i="7"/>
  <c r="H61" i="7"/>
  <c r="F60" i="7"/>
  <c r="C62" i="7"/>
  <c r="L3" i="1"/>
  <c r="L15" i="1" s="1"/>
  <c r="L16" i="1" s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E49" i="7"/>
  <c r="C49" i="7"/>
  <c r="D49" i="7"/>
  <c r="F49" i="7"/>
  <c r="G49" i="7"/>
  <c r="H49" i="7"/>
  <c r="U4" i="6"/>
  <c r="U5" i="6"/>
  <c r="U6" i="6"/>
  <c r="U7" i="6"/>
  <c r="U8" i="6"/>
  <c r="U9" i="6"/>
  <c r="U10" i="6"/>
  <c r="U11" i="6"/>
  <c r="U12" i="6"/>
  <c r="U13" i="6"/>
  <c r="U14" i="6"/>
  <c r="U15" i="6"/>
  <c r="V4" i="6"/>
  <c r="V5" i="6"/>
  <c r="V6" i="6"/>
  <c r="V7" i="6"/>
  <c r="V8" i="6"/>
  <c r="V9" i="6"/>
  <c r="V10" i="6"/>
  <c r="V11" i="6"/>
  <c r="V12" i="6"/>
  <c r="V13" i="6"/>
  <c r="V14" i="6"/>
  <c r="V15" i="6"/>
  <c r="W4" i="6"/>
  <c r="W5" i="6"/>
  <c r="W6" i="6"/>
  <c r="W7" i="6"/>
  <c r="W8" i="6"/>
  <c r="W9" i="6"/>
  <c r="W10" i="6"/>
  <c r="W11" i="6"/>
  <c r="W12" i="6"/>
  <c r="W13" i="6"/>
  <c r="W14" i="6"/>
  <c r="W15" i="6"/>
  <c r="T4" i="6"/>
  <c r="T5" i="6"/>
  <c r="T6" i="6"/>
  <c r="T7" i="6"/>
  <c r="T8" i="6"/>
  <c r="T9" i="6"/>
  <c r="T10" i="6"/>
  <c r="T11" i="6"/>
  <c r="T12" i="6"/>
  <c r="T13" i="6"/>
  <c r="T14" i="6"/>
  <c r="T15" i="6"/>
  <c r="S4" i="6"/>
  <c r="S5" i="6"/>
  <c r="S6" i="6"/>
  <c r="S7" i="6"/>
  <c r="S8" i="6"/>
  <c r="S9" i="6"/>
  <c r="S10" i="6"/>
  <c r="S11" i="6"/>
  <c r="S12" i="6"/>
  <c r="S13" i="6"/>
  <c r="S14" i="6"/>
  <c r="S15" i="6"/>
  <c r="R4" i="6"/>
  <c r="R5" i="6"/>
  <c r="R6" i="6"/>
  <c r="R7" i="6"/>
  <c r="R8" i="6"/>
  <c r="R9" i="6"/>
  <c r="R10" i="6"/>
  <c r="R11" i="6"/>
  <c r="R12" i="6"/>
  <c r="R13" i="6"/>
  <c r="R14" i="6"/>
  <c r="R15" i="6"/>
  <c r="Q4" i="6"/>
  <c r="Q5" i="6"/>
  <c r="Q6" i="6"/>
  <c r="Q7" i="6"/>
  <c r="Q8" i="6"/>
  <c r="Q9" i="6"/>
  <c r="Q10" i="6"/>
  <c r="Q11" i="6"/>
  <c r="Q12" i="6"/>
  <c r="Q13" i="6"/>
  <c r="Q14" i="6"/>
  <c r="Q15" i="6"/>
  <c r="W3" i="6"/>
  <c r="V3" i="6"/>
  <c r="U3" i="6"/>
  <c r="T3" i="6"/>
  <c r="S3" i="6"/>
  <c r="R3" i="6"/>
  <c r="Q3" i="6"/>
  <c r="T16" i="6"/>
  <c r="S16" i="6"/>
  <c r="O3" i="6"/>
  <c r="P4" i="6"/>
  <c r="P5" i="6"/>
  <c r="P6" i="6"/>
  <c r="P7" i="6"/>
  <c r="P8" i="6"/>
  <c r="P9" i="6"/>
  <c r="P10" i="6"/>
  <c r="P11" i="6"/>
  <c r="P12" i="6"/>
  <c r="P13" i="6"/>
  <c r="P14" i="6"/>
  <c r="P15" i="6"/>
  <c r="P3" i="6"/>
  <c r="O4" i="6"/>
  <c r="O5" i="6"/>
  <c r="O6" i="6"/>
  <c r="O7" i="6"/>
  <c r="O8" i="6"/>
  <c r="O9" i="6"/>
  <c r="O10" i="6"/>
  <c r="O11" i="6"/>
  <c r="O12" i="6"/>
  <c r="O13" i="6"/>
  <c r="O14" i="6"/>
  <c r="O15" i="6"/>
  <c r="D2" i="5"/>
  <c r="B7" i="5" s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J4" i="2"/>
  <c r="K4" i="2"/>
  <c r="L4" i="2"/>
  <c r="L5" i="2" s="1"/>
  <c r="M4" i="2"/>
  <c r="N4" i="2"/>
  <c r="O4" i="2"/>
  <c r="P4" i="2"/>
  <c r="Q4" i="2"/>
  <c r="R4" i="2"/>
  <c r="S4" i="2"/>
  <c r="T4" i="2"/>
  <c r="U4" i="2"/>
  <c r="V4" i="2"/>
  <c r="W4" i="2"/>
  <c r="X4" i="2"/>
  <c r="X5" i="2" s="1"/>
  <c r="Y4" i="2"/>
  <c r="Z4" i="2"/>
  <c r="Z5" i="2" s="1"/>
  <c r="AA4" i="2"/>
  <c r="AB4" i="2"/>
  <c r="J3" i="2"/>
  <c r="K3" i="2"/>
  <c r="K5" i="2" s="1"/>
  <c r="L3" i="2"/>
  <c r="M3" i="2"/>
  <c r="M5" i="2" s="1"/>
  <c r="N3" i="2"/>
  <c r="O3" i="2"/>
  <c r="P3" i="2"/>
  <c r="P5" i="2" s="1"/>
  <c r="Q3" i="2"/>
  <c r="Q5" i="2" s="1"/>
  <c r="R3" i="2"/>
  <c r="S3" i="2"/>
  <c r="S5" i="2" s="1"/>
  <c r="T3" i="2"/>
  <c r="T5" i="2" s="1"/>
  <c r="U3" i="2"/>
  <c r="U5" i="2" s="1"/>
  <c r="V3" i="2"/>
  <c r="W3" i="2"/>
  <c r="W5" i="2" s="1"/>
  <c r="X3" i="2"/>
  <c r="Y3" i="2"/>
  <c r="Z3" i="2"/>
  <c r="AA3" i="2"/>
  <c r="AB3" i="2"/>
  <c r="AB5" i="2" s="1"/>
  <c r="J5" i="2"/>
  <c r="V5" i="2"/>
  <c r="R5" i="2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C64" i="7" l="1"/>
  <c r="H64" i="7"/>
  <c r="F67" i="7"/>
  <c r="F68" i="7" s="1"/>
  <c r="E67" i="7"/>
  <c r="E68" i="7" s="1"/>
  <c r="D64" i="7"/>
  <c r="D67" i="7"/>
  <c r="D68" i="7" s="1"/>
  <c r="C67" i="7"/>
  <c r="C68" i="7" s="1"/>
  <c r="C59" i="7"/>
  <c r="H67" i="7"/>
  <c r="H68" i="7" s="1"/>
  <c r="E57" i="7"/>
  <c r="D57" i="7"/>
  <c r="G67" i="7"/>
  <c r="G68" i="7" s="1"/>
  <c r="F64" i="7"/>
  <c r="G64" i="7"/>
  <c r="E64" i="7"/>
  <c r="U22" i="6"/>
  <c r="Q22" i="6"/>
  <c r="S22" i="6"/>
  <c r="W22" i="6"/>
  <c r="R22" i="6"/>
  <c r="T22" i="6"/>
  <c r="V22" i="6"/>
  <c r="Q23" i="6"/>
  <c r="R23" i="6"/>
  <c r="S23" i="6"/>
  <c r="T23" i="6"/>
  <c r="W23" i="6"/>
  <c r="V23" i="6"/>
  <c r="U23" i="6"/>
  <c r="O22" i="6"/>
  <c r="Q24" i="6"/>
  <c r="R24" i="6"/>
  <c r="S24" i="6"/>
  <c r="T24" i="6"/>
  <c r="W24" i="6"/>
  <c r="P22" i="6"/>
  <c r="O24" i="6"/>
  <c r="V24" i="6"/>
  <c r="P23" i="6"/>
  <c r="U24" i="6"/>
  <c r="P24" i="6"/>
  <c r="O23" i="6"/>
  <c r="AA5" i="2"/>
  <c r="N5" i="2"/>
  <c r="B4" i="5"/>
  <c r="Y5" i="2"/>
  <c r="O5" i="2"/>
</calcChain>
</file>

<file path=xl/sharedStrings.xml><?xml version="1.0" encoding="utf-8"?>
<sst xmlns="http://schemas.openxmlformats.org/spreadsheetml/2006/main" count="1156" uniqueCount="79">
  <si>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</si>
  <si>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</si>
  <si>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</si>
  <si>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</si>
  <si>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</si>
  <si>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</si>
  <si>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</si>
  <si>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</si>
  <si>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</si>
  <si>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</si>
  <si>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</si>
  <si>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</si>
  <si>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</si>
  <si>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</si>
  <si>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</si>
  <si>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</si>
  <si>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</si>
  <si>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</si>
  <si>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</si>
  <si>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</si>
  <si>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</si>
  <si>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</si>
  <si>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</si>
  <si>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</si>
  <si>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</si>
  <si>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</si>
  <si>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</si>
  <si>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</si>
  <si>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</si>
  <si>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</si>
  <si>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</si>
  <si>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</si>
  <si>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</si>
  <si>
    <t>ELC_HYD_L10MW_E</t>
  </si>
  <si>
    <t>tech</t>
  </si>
  <si>
    <t>ELC_BGS_E</t>
  </si>
  <si>
    <t>ELC_CHP_NGA_CC_N</t>
  </si>
  <si>
    <t>ELC_CHP_NGA_CP_N</t>
  </si>
  <si>
    <t>ELC_COA_COND_E</t>
  </si>
  <si>
    <t>ELC_COA_OIL_E</t>
  </si>
  <si>
    <t>ELC_COA_STM_P</t>
  </si>
  <si>
    <t>ELC_NGA_CC_E</t>
  </si>
  <si>
    <t>ELC_NGA_CC_N</t>
  </si>
  <si>
    <t>ELC_NGA_CT_N</t>
  </si>
  <si>
    <t>ELC_NGA_OIL_STM_E</t>
  </si>
  <si>
    <t>ELC_NGA_OIL_STM_N</t>
  </si>
  <si>
    <t>ELC_NGA_STM_REP_E</t>
  </si>
  <si>
    <t>ELC_NGA_TURB_E</t>
  </si>
  <si>
    <t>emissions_comm</t>
  </si>
  <si>
    <t>ELC_CH4</t>
  </si>
  <si>
    <t>ELC_N2O</t>
  </si>
  <si>
    <t>ELC_CO2</t>
  </si>
  <si>
    <t>OIL</t>
  </si>
  <si>
    <t>NGA</t>
  </si>
  <si>
    <t>COA</t>
  </si>
  <si>
    <t>output_comm</t>
  </si>
  <si>
    <t>ELC_DST</t>
  </si>
  <si>
    <t>ELC_CEN</t>
  </si>
  <si>
    <t>ELC_DERGAS_CC_E</t>
  </si>
  <si>
    <t>ELC_HYD_E</t>
  </si>
  <si>
    <t>ELC_NUC_LWR_E</t>
  </si>
  <si>
    <t>ELC_PV_GRO_SUD_N</t>
  </si>
  <si>
    <t>ELC_SOL_E</t>
  </si>
  <si>
    <t>ELC_WIN_E</t>
  </si>
  <si>
    <t>ELC_WIN_P</t>
  </si>
  <si>
    <t>Solar</t>
  </si>
  <si>
    <t>ELC_BIO_DST_E</t>
  </si>
  <si>
    <t>Others</t>
  </si>
  <si>
    <t>ELC_NGA_E</t>
  </si>
  <si>
    <t>ELC_PV_GRO_CNT_N</t>
  </si>
  <si>
    <t>ELC_PV_GRO_NRD_N</t>
  </si>
  <si>
    <t>Error</t>
  </si>
  <si>
    <t>Production (GWh)</t>
  </si>
  <si>
    <t>ELC_CHP_NGA_TAP_N</t>
  </si>
  <si>
    <t>ELC_CHP_NGA_CC_P</t>
  </si>
  <si>
    <t xml:space="preserve">NET </t>
  </si>
  <si>
    <t>DATI STORICI</t>
  </si>
  <si>
    <t>STG_ELC_HYD_PUM_E</t>
  </si>
  <si>
    <t>ELC_CHP_NGA_TURB_N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</si>
</sst>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18" fillId="0" borderId="0" xfId="42"/>
    <xf numFmtId="2" fontId="0" fillId="0" borderId="0" xfId="0" applyNumberFormat="1"/>
    <xf numFmtId="0" fontId="19" fillId="0" borderId="0" xfId="0" applyFont="1" applyAlignment="1">
      <alignment vertical="center"/>
    </xf>
    <xf numFmtId="0" fontId="16" fillId="0" borderId="10" xfId="0" applyFont="1" applyBorder="1" applyAlignment="1">
      <alignment horizontal="center" vertical="top"/>
    </xf>
    <xf numFmtId="10" fontId="0" fillId="0" borderId="0" xfId="43" applyNumberFormat="1" applyFont="1"/>
    <xf numFmtId="0" fontId="0" fillId="0" borderId="0" xfId="0" applyAlignment="1">
      <alignment horizontal="center"/>
    </xf>
    <xf numFmtId="2" fontId="0" fillId="0" borderId="0" xfId="43" applyNumberFormat="1" applyFont="1"/>
  </cellXfs>
  <cellStyles count="44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Percentuale" xfId="43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ELC_Generation!$L$3:$AD$3</c:f>
              <c:numCache>
                <c:formatCode>General</c:formatCode>
                <c:ptCount val="19"/>
                <c:pt idx="0">
                  <c:v>244.7208</c:v>
                </c:pt>
                <c:pt idx="1">
                  <c:v>266.70600000000002</c:v>
                </c:pt>
                <c:pt idx="2">
                  <c:v>179.90279999999998</c:v>
                </c:pt>
                <c:pt idx="3">
                  <c:v>132.9768</c:v>
                </c:pt>
                <c:pt idx="4">
                  <c:v>94.762799999999999</c:v>
                </c:pt>
                <c:pt idx="5">
                  <c:v>162.45359999999999</c:v>
                </c:pt>
                <c:pt idx="6">
                  <c:v>201.5676</c:v>
                </c:pt>
                <c:pt idx="7">
                  <c:v>148.79519999999999</c:v>
                </c:pt>
                <c:pt idx="8">
                  <c:v>163.06199999999998</c:v>
                </c:pt>
                <c:pt idx="9">
                  <c:v>189.6336</c:v>
                </c:pt>
                <c:pt idx="10">
                  <c:v>134.83079999999998</c:v>
                </c:pt>
                <c:pt idx="11">
                  <c:v>166.85640000000001</c:v>
                </c:pt>
                <c:pt idx="12">
                  <c:v>139.3776</c:v>
                </c:pt>
                <c:pt idx="13">
                  <c:v>50.3352</c:v>
                </c:pt>
                <c:pt idx="14">
                  <c:v>22.136399999999998</c:v>
                </c:pt>
                <c:pt idx="15">
                  <c:v>21.650399999999998</c:v>
                </c:pt>
                <c:pt idx="16">
                  <c:v>31.305599999999998</c:v>
                </c:pt>
                <c:pt idx="17">
                  <c:v>16.02</c:v>
                </c:pt>
                <c:pt idx="18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ELC_Generation!$L$4:$AD$4</c:f>
              <c:numCache>
                <c:formatCode>General</c:formatCode>
                <c:ptCount val="19"/>
                <c:pt idx="0">
                  <c:v>85.784399999999991</c:v>
                </c:pt>
                <c:pt idx="1">
                  <c:v>66.628799999999998</c:v>
                </c:pt>
                <c:pt idx="2">
                  <c:v>64.807199999999995</c:v>
                </c:pt>
                <c:pt idx="3">
                  <c:v>69.271199999999993</c:v>
                </c:pt>
                <c:pt idx="4">
                  <c:v>59.623199999999997</c:v>
                </c:pt>
                <c:pt idx="5">
                  <c:v>52.891199999999998</c:v>
                </c:pt>
                <c:pt idx="6">
                  <c:v>55.1556</c:v>
                </c:pt>
                <c:pt idx="7">
                  <c:v>49.546799999999998</c:v>
                </c:pt>
                <c:pt idx="8">
                  <c:v>50.835599999999999</c:v>
                </c:pt>
                <c:pt idx="9">
                  <c:v>62.067599999999999</c:v>
                </c:pt>
                <c:pt idx="10">
                  <c:v>60.915599999999998</c:v>
                </c:pt>
                <c:pt idx="11">
                  <c:v>56.757599999999996</c:v>
                </c:pt>
                <c:pt idx="12">
                  <c:v>52.192799999999998</c:v>
                </c:pt>
                <c:pt idx="13">
                  <c:v>46.378799999999998</c:v>
                </c:pt>
                <c:pt idx="14">
                  <c:v>38.534399999999998</c:v>
                </c:pt>
                <c:pt idx="15">
                  <c:v>36.1584</c:v>
                </c:pt>
                <c:pt idx="16">
                  <c:v>38.124000000000002</c:v>
                </c:pt>
                <c:pt idx="17">
                  <c:v>33.436799999999998</c:v>
                </c:pt>
                <c:pt idx="18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ELC_Generation!$L$5:$AD$5</c:f>
              <c:numCache>
                <c:formatCode>General</c:formatCode>
                <c:ptCount val="19"/>
                <c:pt idx="0">
                  <c:v>326.05199999999996</c:v>
                </c:pt>
                <c:pt idx="1">
                  <c:v>341.27639999999997</c:v>
                </c:pt>
                <c:pt idx="2">
                  <c:v>434.87279999999998</c:v>
                </c:pt>
                <c:pt idx="3">
                  <c:v>387.88560000000001</c:v>
                </c:pt>
                <c:pt idx="4">
                  <c:v>341.46359999999999</c:v>
                </c:pt>
                <c:pt idx="5">
                  <c:v>307.8288</c:v>
                </c:pt>
                <c:pt idx="6">
                  <c:v>263.90879999999999</c:v>
                </c:pt>
                <c:pt idx="7">
                  <c:v>207.12959999999998</c:v>
                </c:pt>
                <c:pt idx="8">
                  <c:v>170.18279999999999</c:v>
                </c:pt>
                <c:pt idx="9">
                  <c:v>188.99279999999999</c:v>
                </c:pt>
                <c:pt idx="10">
                  <c:v>190.15199999999999</c:v>
                </c:pt>
                <c:pt idx="11">
                  <c:v>230.53319999999999</c:v>
                </c:pt>
                <c:pt idx="12">
                  <c:v>208.81440000000001</c:v>
                </c:pt>
                <c:pt idx="13">
                  <c:v>301.33080000000001</c:v>
                </c:pt>
                <c:pt idx="14">
                  <c:v>251.06039999999999</c:v>
                </c:pt>
                <c:pt idx="15">
                  <c:v>257.40719999999999</c:v>
                </c:pt>
                <c:pt idx="16">
                  <c:v>309.51</c:v>
                </c:pt>
                <c:pt idx="17">
                  <c:v>231.3792</c:v>
                </c:pt>
                <c:pt idx="18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ELC_Generation!$L$6:$AD$6</c:f>
              <c:numCache>
                <c:formatCode>General</c:formatCode>
                <c:ptCount val="19"/>
                <c:pt idx="0">
                  <c:v>216.45359999999999</c:v>
                </c:pt>
                <c:pt idx="1">
                  <c:v>198.3708</c:v>
                </c:pt>
                <c:pt idx="2">
                  <c:v>212.30279999999999</c:v>
                </c:pt>
                <c:pt idx="3">
                  <c:v>189.93959999999998</c:v>
                </c:pt>
                <c:pt idx="4">
                  <c:v>223.16399999999999</c:v>
                </c:pt>
                <c:pt idx="5">
                  <c:v>207.78479999999999</c:v>
                </c:pt>
                <c:pt idx="6">
                  <c:v>221.292</c:v>
                </c:pt>
                <c:pt idx="7">
                  <c:v>204.21359999999999</c:v>
                </c:pt>
                <c:pt idx="8">
                  <c:v>206.298</c:v>
                </c:pt>
                <c:pt idx="9">
                  <c:v>205.90559999999999</c:v>
                </c:pt>
                <c:pt idx="10">
                  <c:v>211.0788</c:v>
                </c:pt>
                <c:pt idx="11">
                  <c:v>208.94039999999998</c:v>
                </c:pt>
                <c:pt idx="12">
                  <c:v>200.7576</c:v>
                </c:pt>
                <c:pt idx="13">
                  <c:v>210.0564</c:v>
                </c:pt>
                <c:pt idx="14">
                  <c:v>209.87639999999999</c:v>
                </c:pt>
                <c:pt idx="15">
                  <c:v>203.63039999999998</c:v>
                </c:pt>
                <c:pt idx="16">
                  <c:v>210.92400000000001</c:v>
                </c:pt>
                <c:pt idx="17">
                  <c:v>204.74279999999999</c:v>
                </c:pt>
                <c:pt idx="18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ELC_Generation!$L$7:$AD$7</c:f>
              <c:numCache>
                <c:formatCode>General</c:formatCode>
                <c:ptCount val="19"/>
                <c:pt idx="0">
                  <c:v>107.3916</c:v>
                </c:pt>
                <c:pt idx="1">
                  <c:v>109.8792</c:v>
                </c:pt>
                <c:pt idx="2">
                  <c:v>94.118399999999994</c:v>
                </c:pt>
                <c:pt idx="3">
                  <c:v>104.9832</c:v>
                </c:pt>
                <c:pt idx="4">
                  <c:v>163.83959999999999</c:v>
                </c:pt>
                <c:pt idx="5">
                  <c:v>118.47959999999999</c:v>
                </c:pt>
                <c:pt idx="6">
                  <c:v>86.983199999999997</c:v>
                </c:pt>
                <c:pt idx="7">
                  <c:v>147.78719999999998</c:v>
                </c:pt>
                <c:pt idx="8">
                  <c:v>154.6884</c:v>
                </c:pt>
                <c:pt idx="9">
                  <c:v>112.92479999999999</c:v>
                </c:pt>
                <c:pt idx="10">
                  <c:v>143.51400000000001</c:v>
                </c:pt>
                <c:pt idx="11">
                  <c:v>75.852000000000004</c:v>
                </c:pt>
                <c:pt idx="12">
                  <c:v>132.49080000000001</c:v>
                </c:pt>
                <c:pt idx="13">
                  <c:v>96.746399999999994</c:v>
                </c:pt>
                <c:pt idx="14">
                  <c:v>122.39279999999999</c:v>
                </c:pt>
                <c:pt idx="15">
                  <c:v>118.2492</c:v>
                </c:pt>
                <c:pt idx="16">
                  <c:v>79.5672</c:v>
                </c:pt>
                <c:pt idx="17">
                  <c:v>111.97799999999999</c:v>
                </c:pt>
                <c:pt idx="18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ELC_Generation!$L$8:$AD$8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7.1999999999999995E-2</c:v>
                </c:pt>
                <c:pt idx="14">
                  <c:v>9.7199999999999995E-2</c:v>
                </c:pt>
                <c:pt idx="15">
                  <c:v>6.8400000000000002E-2</c:v>
                </c:pt>
                <c:pt idx="16">
                  <c:v>8.2799999999999999E-2</c:v>
                </c:pt>
                <c:pt idx="17">
                  <c:v>4.3200000000000002E-2</c:v>
                </c:pt>
                <c:pt idx="18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ELC_Generation!$L$9:$AD$9</c:f>
              <c:numCache>
                <c:formatCode>General</c:formatCode>
                <c:ptCount val="19"/>
                <c:pt idx="0">
                  <c:v>7.8228</c:v>
                </c:pt>
                <c:pt idx="1">
                  <c:v>7.7795999999999994</c:v>
                </c:pt>
                <c:pt idx="2">
                  <c:v>8.9027999999999992</c:v>
                </c:pt>
                <c:pt idx="3">
                  <c:v>9.8171999999999997</c:v>
                </c:pt>
                <c:pt idx="4">
                  <c:v>12.0816</c:v>
                </c:pt>
                <c:pt idx="5">
                  <c:v>13.730399999999999</c:v>
                </c:pt>
                <c:pt idx="6">
                  <c:v>15.3432</c:v>
                </c:pt>
                <c:pt idx="7">
                  <c:v>18.4176</c:v>
                </c:pt>
                <c:pt idx="8">
                  <c:v>17.020800000000001</c:v>
                </c:pt>
                <c:pt idx="9">
                  <c:v>17.985599999999998</c:v>
                </c:pt>
                <c:pt idx="10">
                  <c:v>17.834399999999999</c:v>
                </c:pt>
                <c:pt idx="11">
                  <c:v>19.101600000000001</c:v>
                </c:pt>
                <c:pt idx="12">
                  <c:v>18.561599999999999</c:v>
                </c:pt>
                <c:pt idx="13">
                  <c:v>17.287199999999999</c:v>
                </c:pt>
                <c:pt idx="14">
                  <c:v>19.565999999999999</c:v>
                </c:pt>
                <c:pt idx="15">
                  <c:v>21.916799999999999</c:v>
                </c:pt>
                <c:pt idx="16">
                  <c:v>21.366</c:v>
                </c:pt>
                <c:pt idx="17">
                  <c:v>18.223199999999999</c:v>
                </c:pt>
                <c:pt idx="18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ELC_Generation!$L$10:$AD$10</c:f>
              <c:numCache>
                <c:formatCode>General</c:formatCode>
                <c:ptCount val="19"/>
                <c:pt idx="0">
                  <c:v>4.3271999999999995</c:v>
                </c:pt>
                <c:pt idx="1">
                  <c:v>5.3064</c:v>
                </c:pt>
                <c:pt idx="2">
                  <c:v>5.6303999999999998</c:v>
                </c:pt>
                <c:pt idx="3">
                  <c:v>5.4791999999999996</c:v>
                </c:pt>
                <c:pt idx="4">
                  <c:v>4.7447999999999997</c:v>
                </c:pt>
                <c:pt idx="5">
                  <c:v>5.7240000000000002</c:v>
                </c:pt>
                <c:pt idx="6">
                  <c:v>5.1479999999999997</c:v>
                </c:pt>
                <c:pt idx="7">
                  <c:v>4.9104000000000001</c:v>
                </c:pt>
                <c:pt idx="8">
                  <c:v>4.9391999999999996</c:v>
                </c:pt>
                <c:pt idx="9">
                  <c:v>5.5296000000000003</c:v>
                </c:pt>
                <c:pt idx="10">
                  <c:v>5.2919999999999998</c:v>
                </c:pt>
                <c:pt idx="11">
                  <c:v>5.5583999999999998</c:v>
                </c:pt>
                <c:pt idx="12">
                  <c:v>6.39</c:v>
                </c:pt>
                <c:pt idx="13">
                  <c:v>6.3179999999999996</c:v>
                </c:pt>
                <c:pt idx="14">
                  <c:v>6.3035999999999994</c:v>
                </c:pt>
                <c:pt idx="15">
                  <c:v>6.4619999999999997</c:v>
                </c:pt>
                <c:pt idx="16">
                  <c:v>6.3144</c:v>
                </c:pt>
                <c:pt idx="17">
                  <c:v>6.0587999999999997</c:v>
                </c:pt>
                <c:pt idx="18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ELC_Generation!$L$11:$AD$11</c:f>
              <c:numCache>
                <c:formatCode>General</c:formatCode>
                <c:ptCount val="19"/>
                <c:pt idx="0">
                  <c:v>83.869199999999992</c:v>
                </c:pt>
                <c:pt idx="1">
                  <c:v>99.244799999999998</c:v>
                </c:pt>
                <c:pt idx="2">
                  <c:v>118.6056</c:v>
                </c:pt>
                <c:pt idx="3">
                  <c:v>137.22120000000001</c:v>
                </c:pt>
                <c:pt idx="4">
                  <c:v>159.37559999999999</c:v>
                </c:pt>
                <c:pt idx="5">
                  <c:v>154.50479999999999</c:v>
                </c:pt>
                <c:pt idx="6">
                  <c:v>178.0992</c:v>
                </c:pt>
                <c:pt idx="7">
                  <c:v>200.32560000000001</c:v>
                </c:pt>
                <c:pt idx="8">
                  <c:v>187.24680000000001</c:v>
                </c:pt>
                <c:pt idx="9">
                  <c:v>177.57</c:v>
                </c:pt>
                <c:pt idx="10">
                  <c:v>176.05799999999999</c:v>
                </c:pt>
                <c:pt idx="11">
                  <c:v>176.85720000000001</c:v>
                </c:pt>
                <c:pt idx="12">
                  <c:v>183.22559999999999</c:v>
                </c:pt>
                <c:pt idx="13">
                  <c:v>200.32919999999999</c:v>
                </c:pt>
                <c:pt idx="14">
                  <c:v>203.19839999999999</c:v>
                </c:pt>
                <c:pt idx="15">
                  <c:v>223.4196</c:v>
                </c:pt>
                <c:pt idx="16">
                  <c:v>226.0224</c:v>
                </c:pt>
                <c:pt idx="17">
                  <c:v>231.39</c:v>
                </c:pt>
                <c:pt idx="18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ELC_Generation!$L$12:$AD$12</c:f>
              <c:numCache>
                <c:formatCode>General</c:formatCode>
                <c:ptCount val="19"/>
                <c:pt idx="0">
                  <c:v>0.44639999999999996</c:v>
                </c:pt>
                <c:pt idx="1">
                  <c:v>1.8251999999999999</c:v>
                </c:pt>
                <c:pt idx="2">
                  <c:v>9.2232000000000003</c:v>
                </c:pt>
                <c:pt idx="3">
                  <c:v>21.459599999999998</c:v>
                </c:pt>
                <c:pt idx="4">
                  <c:v>23.13</c:v>
                </c:pt>
                <c:pt idx="5">
                  <c:v>26.783999999999999</c:v>
                </c:pt>
                <c:pt idx="6">
                  <c:v>29.491199999999999</c:v>
                </c:pt>
                <c:pt idx="7">
                  <c:v>29.973599999999998</c:v>
                </c:pt>
                <c:pt idx="8">
                  <c:v>29.581199999999999</c:v>
                </c:pt>
                <c:pt idx="9">
                  <c:v>29.7576</c:v>
                </c:pt>
                <c:pt idx="10">
                  <c:v>29.026799999999998</c:v>
                </c:pt>
                <c:pt idx="11">
                  <c:v>30.650399999999998</c:v>
                </c:pt>
                <c:pt idx="12">
                  <c:v>28.357199999999999</c:v>
                </c:pt>
                <c:pt idx="13">
                  <c:v>33.911999999999999</c:v>
                </c:pt>
                <c:pt idx="14">
                  <c:v>56.43</c:v>
                </c:pt>
                <c:pt idx="15">
                  <c:v>78.919200000000004</c:v>
                </c:pt>
                <c:pt idx="16">
                  <c:v>112.2732</c:v>
                </c:pt>
                <c:pt idx="17">
                  <c:v>156.31559999999999</c:v>
                </c:pt>
                <c:pt idx="18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ELC_Generation!$L$13:$AD$13</c:f>
              <c:numCache>
                <c:formatCode>General</c:formatCode>
                <c:ptCount val="19"/>
                <c:pt idx="0">
                  <c:v>0</c:v>
                </c:pt>
                <c:pt idx="1">
                  <c:v>2.8799999999999999E-2</c:v>
                </c:pt>
                <c:pt idx="2">
                  <c:v>5.7599999999999998E-2</c:v>
                </c:pt>
                <c:pt idx="3">
                  <c:v>0.37079999999999996</c:v>
                </c:pt>
                <c:pt idx="4">
                  <c:v>2.7395999999999998</c:v>
                </c:pt>
                <c:pt idx="5">
                  <c:v>7.0523999999999996</c:v>
                </c:pt>
                <c:pt idx="6">
                  <c:v>13.59</c:v>
                </c:pt>
                <c:pt idx="7">
                  <c:v>17.168399999999998</c:v>
                </c:pt>
                <c:pt idx="8">
                  <c:v>19.634399999999999</c:v>
                </c:pt>
                <c:pt idx="9">
                  <c:v>20.134799999999998</c:v>
                </c:pt>
                <c:pt idx="10">
                  <c:v>20.084399999999999</c:v>
                </c:pt>
                <c:pt idx="11">
                  <c:v>21.178799999999999</c:v>
                </c:pt>
                <c:pt idx="12">
                  <c:v>17.5212</c:v>
                </c:pt>
                <c:pt idx="13">
                  <c:v>20.4588</c:v>
                </c:pt>
                <c:pt idx="14">
                  <c:v>17.9712</c:v>
                </c:pt>
                <c:pt idx="15">
                  <c:v>18.633599999999998</c:v>
                </c:pt>
                <c:pt idx="16">
                  <c:v>16.329599999999999</c:v>
                </c:pt>
                <c:pt idx="17">
                  <c:v>18.594000000000001</c:v>
                </c:pt>
                <c:pt idx="18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ELC_Generation!$L$14:$AD$14</c:f>
              <c:numCache>
                <c:formatCode>General</c:formatCode>
                <c:ptCount val="19"/>
                <c:pt idx="0">
                  <c:v>1.1843999999999999</c:v>
                </c:pt>
                <c:pt idx="1">
                  <c:v>1.1663999999999999</c:v>
                </c:pt>
                <c:pt idx="2">
                  <c:v>1.1052</c:v>
                </c:pt>
                <c:pt idx="3">
                  <c:v>1.2276</c:v>
                </c:pt>
                <c:pt idx="4">
                  <c:v>0.57240000000000002</c:v>
                </c:pt>
                <c:pt idx="5">
                  <c:v>0.61560000000000004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0.77759999999999996</c:v>
                </c:pt>
                <c:pt idx="10">
                  <c:v>0.38879999999999998</c:v>
                </c:pt>
                <c:pt idx="11">
                  <c:v>0.3276</c:v>
                </c:pt>
                <c:pt idx="12">
                  <c:v>0.33839999999999998</c:v>
                </c:pt>
                <c:pt idx="13">
                  <c:v>0.50039999999999996</c:v>
                </c:pt>
                <c:pt idx="14">
                  <c:v>0.57599999999999996</c:v>
                </c:pt>
                <c:pt idx="15">
                  <c:v>1.008</c:v>
                </c:pt>
                <c:pt idx="16">
                  <c:v>1.0151999999999999</c:v>
                </c:pt>
                <c:pt idx="17">
                  <c:v>0.98280000000000001</c:v>
                </c:pt>
                <c:pt idx="18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ImpExp!$J$3:$AB$3</c:f>
              <c:numCache>
                <c:formatCode>General</c:formatCode>
                <c:ptCount val="19"/>
                <c:pt idx="0">
                  <c:v>32.7348</c:v>
                </c:pt>
                <c:pt idx="1">
                  <c:v>31.582799999999999</c:v>
                </c:pt>
                <c:pt idx="2">
                  <c:v>21.171599999999998</c:v>
                </c:pt>
                <c:pt idx="3">
                  <c:v>24.303599999999999</c:v>
                </c:pt>
                <c:pt idx="4">
                  <c:v>18.741599999999998</c:v>
                </c:pt>
                <c:pt idx="5">
                  <c:v>28.555199999999999</c:v>
                </c:pt>
                <c:pt idx="6">
                  <c:v>28.033200000000001</c:v>
                </c:pt>
                <c:pt idx="7">
                  <c:v>35.593199999999996</c:v>
                </c:pt>
                <c:pt idx="8">
                  <c:v>44.315999999999995</c:v>
                </c:pt>
                <c:pt idx="9">
                  <c:v>53.8416</c:v>
                </c:pt>
                <c:pt idx="10">
                  <c:v>78.641999999999996</c:v>
                </c:pt>
                <c:pt idx="11">
                  <c:v>85.543199999999999</c:v>
                </c:pt>
                <c:pt idx="12">
                  <c:v>86.464799999999997</c:v>
                </c:pt>
                <c:pt idx="13">
                  <c:v>67.391999999999996</c:v>
                </c:pt>
                <c:pt idx="14">
                  <c:v>64.540800000000004</c:v>
                </c:pt>
                <c:pt idx="15">
                  <c:v>62.679600000000001</c:v>
                </c:pt>
                <c:pt idx="16">
                  <c:v>28.9116</c:v>
                </c:pt>
                <c:pt idx="17">
                  <c:v>40.7376</c:v>
                </c:pt>
                <c:pt idx="18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ImpExp!$J$4:$AB$4</c:f>
              <c:numCache>
                <c:formatCode>General</c:formatCode>
                <c:ptCount val="19"/>
                <c:pt idx="0">
                  <c:v>-44.5428</c:v>
                </c:pt>
                <c:pt idx="1">
                  <c:v>-52.2864</c:v>
                </c:pt>
                <c:pt idx="2">
                  <c:v>-60.911999999999999</c:v>
                </c:pt>
                <c:pt idx="3">
                  <c:v>-53.478000000000002</c:v>
                </c:pt>
                <c:pt idx="4">
                  <c:v>-48.740400000000001</c:v>
                </c:pt>
                <c:pt idx="5">
                  <c:v>-50.482799999999997</c:v>
                </c:pt>
                <c:pt idx="6">
                  <c:v>-68.349599999999995</c:v>
                </c:pt>
                <c:pt idx="7">
                  <c:v>-59.896799999999999</c:v>
                </c:pt>
                <c:pt idx="8">
                  <c:v>-56.577599999999997</c:v>
                </c:pt>
                <c:pt idx="9">
                  <c:v>-54.320399999999999</c:v>
                </c:pt>
                <c:pt idx="10">
                  <c:v>-51.040799999999997</c:v>
                </c:pt>
                <c:pt idx="11">
                  <c:v>-52.534799999999997</c:v>
                </c:pt>
                <c:pt idx="12">
                  <c:v>-46.497599999999998</c:v>
                </c:pt>
                <c:pt idx="13">
                  <c:v>-42.688800000000001</c:v>
                </c:pt>
                <c:pt idx="14">
                  <c:v>-52.732799999999997</c:v>
                </c:pt>
                <c:pt idx="15">
                  <c:v>-59.608799999999995</c:v>
                </c:pt>
                <c:pt idx="16">
                  <c:v>-100.19879999999999</c:v>
                </c:pt>
                <c:pt idx="17">
                  <c:v>-90.979199999999992</c:v>
                </c:pt>
                <c:pt idx="18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ImpExp!$J$5:$AB$5</c:f>
              <c:numCache>
                <c:formatCode>General</c:formatCode>
                <c:ptCount val="19"/>
                <c:pt idx="0">
                  <c:v>-11.808</c:v>
                </c:pt>
                <c:pt idx="1">
                  <c:v>-20.703600000000002</c:v>
                </c:pt>
                <c:pt idx="2">
                  <c:v>-39.740400000000001</c:v>
                </c:pt>
                <c:pt idx="3">
                  <c:v>-29.174400000000002</c:v>
                </c:pt>
                <c:pt idx="4">
                  <c:v>-29.998800000000003</c:v>
                </c:pt>
                <c:pt idx="5">
                  <c:v>-21.927599999999998</c:v>
                </c:pt>
                <c:pt idx="6">
                  <c:v>-40.316399999999994</c:v>
                </c:pt>
                <c:pt idx="7">
                  <c:v>-24.303600000000003</c:v>
                </c:pt>
                <c:pt idx="8">
                  <c:v>-12.261600000000001</c:v>
                </c:pt>
                <c:pt idx="9">
                  <c:v>-0.47879999999999967</c:v>
                </c:pt>
                <c:pt idx="10">
                  <c:v>27.601199999999999</c:v>
                </c:pt>
                <c:pt idx="11">
                  <c:v>33.008400000000002</c:v>
                </c:pt>
                <c:pt idx="12">
                  <c:v>39.967199999999998</c:v>
                </c:pt>
                <c:pt idx="13">
                  <c:v>24.703199999999995</c:v>
                </c:pt>
                <c:pt idx="14">
                  <c:v>11.808000000000007</c:v>
                </c:pt>
                <c:pt idx="15">
                  <c:v>3.0708000000000055</c:v>
                </c:pt>
                <c:pt idx="16">
                  <c:v>-71.287199999999984</c:v>
                </c:pt>
                <c:pt idx="17">
                  <c:v>-50.241599999999991</c:v>
                </c:pt>
                <c:pt idx="18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Emissions!$J$3:$AA$3</c:f>
              <c:numCache>
                <c:formatCode>0.00</c:formatCode>
                <c:ptCount val="18"/>
                <c:pt idx="0">
                  <c:v>62.594999999999999</c:v>
                </c:pt>
                <c:pt idx="1">
                  <c:v>71.436000000000007</c:v>
                </c:pt>
                <c:pt idx="2">
                  <c:v>46.113999999999997</c:v>
                </c:pt>
                <c:pt idx="3">
                  <c:v>35.026000000000003</c:v>
                </c:pt>
                <c:pt idx="4">
                  <c:v>25.3</c:v>
                </c:pt>
                <c:pt idx="5">
                  <c:v>44.177999999999997</c:v>
                </c:pt>
                <c:pt idx="6">
                  <c:v>53.131999999999998</c:v>
                </c:pt>
                <c:pt idx="7">
                  <c:v>38.640999999999998</c:v>
                </c:pt>
                <c:pt idx="8">
                  <c:v>42.912999999999997</c:v>
                </c:pt>
                <c:pt idx="9">
                  <c:v>49.125</c:v>
                </c:pt>
                <c:pt idx="10">
                  <c:v>35.423000000000002</c:v>
                </c:pt>
                <c:pt idx="11">
                  <c:v>44.04</c:v>
                </c:pt>
                <c:pt idx="12">
                  <c:v>36.701999999999998</c:v>
                </c:pt>
                <c:pt idx="13">
                  <c:v>14.217000000000001</c:v>
                </c:pt>
                <c:pt idx="14">
                  <c:v>6.4909999999999997</c:v>
                </c:pt>
                <c:pt idx="15">
                  <c:v>7.1749999999999998</c:v>
                </c:pt>
                <c:pt idx="16">
                  <c:v>8.9670000000000005</c:v>
                </c:pt>
                <c:pt idx="17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Emissions!$J$4:$AA$4</c:f>
              <c:numCache>
                <c:formatCode>0.00</c:formatCode>
                <c:ptCount val="18"/>
                <c:pt idx="0">
                  <c:v>14.491</c:v>
                </c:pt>
                <c:pt idx="1">
                  <c:v>13.48</c:v>
                </c:pt>
                <c:pt idx="2">
                  <c:v>12.941000000000001</c:v>
                </c:pt>
                <c:pt idx="3">
                  <c:v>12.904999999999999</c:v>
                </c:pt>
                <c:pt idx="4">
                  <c:v>11.218</c:v>
                </c:pt>
                <c:pt idx="5">
                  <c:v>10.52</c:v>
                </c:pt>
                <c:pt idx="6">
                  <c:v>10.917</c:v>
                </c:pt>
                <c:pt idx="7">
                  <c:v>9.4359999999999999</c:v>
                </c:pt>
                <c:pt idx="8">
                  <c:v>9.9710000000000001</c:v>
                </c:pt>
                <c:pt idx="9">
                  <c:v>11.891999999999999</c:v>
                </c:pt>
                <c:pt idx="10">
                  <c:v>11.385999999999999</c:v>
                </c:pt>
                <c:pt idx="11">
                  <c:v>10.512</c:v>
                </c:pt>
                <c:pt idx="12">
                  <c:v>9.5120000000000005</c:v>
                </c:pt>
                <c:pt idx="13">
                  <c:v>8.1780000000000008</c:v>
                </c:pt>
                <c:pt idx="14">
                  <c:v>6.718</c:v>
                </c:pt>
                <c:pt idx="15">
                  <c:v>6.3220000000000001</c:v>
                </c:pt>
                <c:pt idx="16">
                  <c:v>6.7210000000000001</c:v>
                </c:pt>
                <c:pt idx="17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Emissions!$J$5:$AA$5</c:f>
              <c:numCache>
                <c:formatCode>0.00</c:formatCode>
                <c:ptCount val="18"/>
                <c:pt idx="0">
                  <c:v>32.406999999999996</c:v>
                </c:pt>
                <c:pt idx="1">
                  <c:v>32.332999999999998</c:v>
                </c:pt>
                <c:pt idx="2">
                  <c:v>42.374000000000002</c:v>
                </c:pt>
                <c:pt idx="3">
                  <c:v>38.268000000000001</c:v>
                </c:pt>
                <c:pt idx="4">
                  <c:v>34.341999999999999</c:v>
                </c:pt>
                <c:pt idx="5">
                  <c:v>30.934000000000001</c:v>
                </c:pt>
                <c:pt idx="6">
                  <c:v>26.295999999999999</c:v>
                </c:pt>
                <c:pt idx="7">
                  <c:v>20.146999999999998</c:v>
                </c:pt>
                <c:pt idx="8">
                  <c:v>16.512</c:v>
                </c:pt>
                <c:pt idx="9">
                  <c:v>19.401</c:v>
                </c:pt>
                <c:pt idx="10">
                  <c:v>19.056999999999999</c:v>
                </c:pt>
                <c:pt idx="11">
                  <c:v>23.382999999999999</c:v>
                </c:pt>
                <c:pt idx="12">
                  <c:v>21.161999999999999</c:v>
                </c:pt>
                <c:pt idx="13">
                  <c:v>30.029</c:v>
                </c:pt>
                <c:pt idx="14">
                  <c:v>25.106999999999999</c:v>
                </c:pt>
                <c:pt idx="15">
                  <c:v>25.800999999999998</c:v>
                </c:pt>
                <c:pt idx="16">
                  <c:v>32.043999999999997</c:v>
                </c:pt>
                <c:pt idx="17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Emissions!$J$6:$AA$6</c:f>
              <c:numCache>
                <c:formatCode>0.00</c:formatCode>
                <c:ptCount val="18"/>
                <c:pt idx="0">
                  <c:v>0.96699999999999997</c:v>
                </c:pt>
                <c:pt idx="1">
                  <c:v>1.1870000000000001</c:v>
                </c:pt>
                <c:pt idx="2">
                  <c:v>1.2589999999999999</c:v>
                </c:pt>
                <c:pt idx="3">
                  <c:v>1.2250000000000001</c:v>
                </c:pt>
                <c:pt idx="4">
                  <c:v>0.66800000000000004</c:v>
                </c:pt>
                <c:pt idx="5">
                  <c:v>0.748</c:v>
                </c:pt>
                <c:pt idx="6">
                  <c:v>0.67400000000000004</c:v>
                </c:pt>
                <c:pt idx="7">
                  <c:v>0.76600000000000001</c:v>
                </c:pt>
                <c:pt idx="8">
                  <c:v>0.78300000000000003</c:v>
                </c:pt>
                <c:pt idx="9">
                  <c:v>0.95799999999999996</c:v>
                </c:pt>
                <c:pt idx="10">
                  <c:v>0.88100000000000001</c:v>
                </c:pt>
                <c:pt idx="11">
                  <c:v>0.97</c:v>
                </c:pt>
                <c:pt idx="12">
                  <c:v>1.3839999999999999</c:v>
                </c:pt>
                <c:pt idx="13">
                  <c:v>1.3080000000000001</c:v>
                </c:pt>
                <c:pt idx="14">
                  <c:v>1.5760000000000001</c:v>
                </c:pt>
                <c:pt idx="15">
                  <c:v>1.323</c:v>
                </c:pt>
                <c:pt idx="16">
                  <c:v>1.3180000000000001</c:v>
                </c:pt>
                <c:pt idx="1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Cal_Emission!$M$46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Cal_Emission!$N$46:$R$46</c:f>
              <c:numCache>
                <c:formatCode>0.00</c:formatCode>
                <c:ptCount val="5"/>
                <c:pt idx="0">
                  <c:v>71.436000000000007</c:v>
                </c:pt>
                <c:pt idx="1">
                  <c:v>25.3</c:v>
                </c:pt>
                <c:pt idx="2">
                  <c:v>42.912999999999997</c:v>
                </c:pt>
                <c:pt idx="3">
                  <c:v>36.701999999999998</c:v>
                </c:pt>
                <c:pt idx="4">
                  <c:v>8.9670000000000005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7-422C-84AE-7AAE5866A1E6}"/>
            </c:ext>
          </c:extLst>
        </c:ser>
        <c:ser>
          <c:idx val="1"/>
          <c:order val="1"/>
          <c:tx>
            <c:strRef>
              <c:f>Cal_Emission!$M$47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Cal_Emission!$N$47:$R$47</c:f>
              <c:numCache>
                <c:formatCode>0.00</c:formatCode>
                <c:ptCount val="5"/>
                <c:pt idx="0">
                  <c:v>13.48</c:v>
                </c:pt>
                <c:pt idx="1">
                  <c:v>11.218</c:v>
                </c:pt>
                <c:pt idx="2">
                  <c:v>9.9710000000000001</c:v>
                </c:pt>
                <c:pt idx="3">
                  <c:v>9.5120000000000005</c:v>
                </c:pt>
                <c:pt idx="4">
                  <c:v>6.7210000000000001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E7-422C-84AE-7AAE5866A1E6}"/>
            </c:ext>
          </c:extLst>
        </c:ser>
        <c:ser>
          <c:idx val="2"/>
          <c:order val="2"/>
          <c:tx>
            <c:strRef>
              <c:f>Cal_Emission!$M$48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Cal_Emission!$N$48:$R$48</c:f>
              <c:numCache>
                <c:formatCode>0.00</c:formatCode>
                <c:ptCount val="5"/>
                <c:pt idx="0">
                  <c:v>32.332999999999998</c:v>
                </c:pt>
                <c:pt idx="1">
                  <c:v>34.341999999999999</c:v>
                </c:pt>
                <c:pt idx="2">
                  <c:v>16.512</c:v>
                </c:pt>
                <c:pt idx="3">
                  <c:v>21.161999999999999</c:v>
                </c:pt>
                <c:pt idx="4">
                  <c:v>32.043999999999997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E7-422C-84AE-7AAE5866A1E6}"/>
            </c:ext>
          </c:extLst>
        </c:ser>
        <c:ser>
          <c:idx val="3"/>
          <c:order val="3"/>
          <c:tx>
            <c:strRef>
              <c:f>Cal_Emission!$M$49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Cal_Emission!$N$49:$R$49</c:f>
              <c:numCache>
                <c:formatCode>0.00</c:formatCode>
                <c:ptCount val="5"/>
                <c:pt idx="0">
                  <c:v>1.1870000000000001</c:v>
                </c:pt>
                <c:pt idx="1">
                  <c:v>0.66800000000000004</c:v>
                </c:pt>
                <c:pt idx="2">
                  <c:v>0.78300000000000003</c:v>
                </c:pt>
                <c:pt idx="3">
                  <c:v>1.3839999999999999</c:v>
                </c:pt>
                <c:pt idx="4">
                  <c:v>1.3180000000000001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E7-422C-84AE-7AAE586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76719583"/>
        <c:axId val="1976720543"/>
      </c:barChart>
      <c:catAx>
        <c:axId val="1976719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20543"/>
        <c:crosses val="autoZero"/>
        <c:auto val="1"/>
        <c:lblAlgn val="ctr"/>
        <c:lblOffset val="100"/>
        <c:noMultiLvlLbl val="0"/>
      </c:catAx>
      <c:valAx>
        <c:axId val="197672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(kton)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1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Cal_Emission!$N$22</c:f>
              <c:strCache>
                <c:ptCount val="1"/>
                <c:pt idx="0">
                  <c:v>COA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Cal_Emission!$O$22:$S$22</c:f>
              <c:numCache>
                <c:formatCode>General</c:formatCode>
                <c:ptCount val="5"/>
                <c:pt idx="0">
                  <c:v>88.123870746745254</c:v>
                </c:pt>
                <c:pt idx="1">
                  <c:v>66.050147693349743</c:v>
                </c:pt>
                <c:pt idx="2">
                  <c:v>46.356168914408869</c:v>
                </c:pt>
                <c:pt idx="3">
                  <c:v>17.95848921428572</c:v>
                </c:pt>
                <c:pt idx="4">
                  <c:v>3.771774685714286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628-92CD-F6FFA21DA05E}"/>
            </c:ext>
          </c:extLst>
        </c:ser>
        <c:ser>
          <c:idx val="1"/>
          <c:order val="1"/>
          <c:tx>
            <c:strRef>
              <c:f>Cal_Emission!$N$23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Cal_Emission!$O$23:$S$23</c:f>
              <c:numCache>
                <c:formatCode>General</c:formatCode>
                <c:ptCount val="5"/>
                <c:pt idx="0">
                  <c:v>13.9869583</c:v>
                </c:pt>
                <c:pt idx="1">
                  <c:v>12.516317450000001</c:v>
                </c:pt>
                <c:pt idx="2">
                  <c:v>13.029454724999999</c:v>
                </c:pt>
                <c:pt idx="3">
                  <c:v>10.95650105</c:v>
                </c:pt>
                <c:pt idx="4">
                  <c:v>8.0031277500000009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21-4628-92CD-F6FFA21DA05E}"/>
            </c:ext>
          </c:extLst>
        </c:ser>
        <c:ser>
          <c:idx val="2"/>
          <c:order val="2"/>
          <c:tx>
            <c:strRef>
              <c:f>Cal_Emission!$N$24</c:f>
              <c:strCache>
                <c:ptCount val="1"/>
                <c:pt idx="0">
                  <c:v>NGA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Cal_Emission!$O$24:$S$24</c:f>
              <c:numCache>
                <c:formatCode>General</c:formatCode>
                <c:ptCount val="5"/>
                <c:pt idx="0">
                  <c:v>51.169526347428565</c:v>
                </c:pt>
                <c:pt idx="1">
                  <c:v>49.706871145428565</c:v>
                </c:pt>
                <c:pt idx="2">
                  <c:v>32.990978829433068</c:v>
                </c:pt>
                <c:pt idx="3">
                  <c:v>35.004836961501162</c:v>
                </c:pt>
                <c:pt idx="4">
                  <c:v>41.544492134145663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21-4628-92CD-F6FFA21DA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3279"/>
        <c:axId val="16663759"/>
      </c:barChart>
      <c:catAx>
        <c:axId val="1666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759"/>
        <c:crosses val="autoZero"/>
        <c:auto val="1"/>
        <c:lblAlgn val="ctr"/>
        <c:lblOffset val="100"/>
        <c:noMultiLvlLbl val="0"/>
      </c:catAx>
      <c:valAx>
        <c:axId val="1666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(Mton)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Cal_Generation!$B$42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Cal_Generation!$C$42:$H$42</c:f>
              <c:numCache>
                <c:formatCode>General</c:formatCode>
                <c:ptCount val="6"/>
                <c:pt idx="0">
                  <c:v>266.70600000000002</c:v>
                </c:pt>
                <c:pt idx="1">
                  <c:v>94.762799999999999</c:v>
                </c:pt>
                <c:pt idx="2">
                  <c:v>163.06199999999998</c:v>
                </c:pt>
                <c:pt idx="3">
                  <c:v>139.3776</c:v>
                </c:pt>
                <c:pt idx="4">
                  <c:v>31.305599999999998</c:v>
                </c:pt>
                <c:pt idx="5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6-45FF-AB48-671D3EEA354E}"/>
            </c:ext>
          </c:extLst>
        </c:ser>
        <c:ser>
          <c:idx val="1"/>
          <c:order val="1"/>
          <c:tx>
            <c:strRef>
              <c:f>Cal_Generation!$B$43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Cal_Generation!$C$43:$H$43</c:f>
              <c:numCache>
                <c:formatCode>General</c:formatCode>
                <c:ptCount val="6"/>
                <c:pt idx="0">
                  <c:v>66.628799999999998</c:v>
                </c:pt>
                <c:pt idx="1">
                  <c:v>59.623199999999997</c:v>
                </c:pt>
                <c:pt idx="2">
                  <c:v>50.835599999999999</c:v>
                </c:pt>
                <c:pt idx="3">
                  <c:v>52.192799999999998</c:v>
                </c:pt>
                <c:pt idx="4">
                  <c:v>38.124000000000002</c:v>
                </c:pt>
                <c:pt idx="5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6-45FF-AB48-671D3EEA354E}"/>
            </c:ext>
          </c:extLst>
        </c:ser>
        <c:ser>
          <c:idx val="2"/>
          <c:order val="2"/>
          <c:tx>
            <c:strRef>
              <c:f>Cal_Generation!$B$44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Cal_Generation!$C$44:$H$44</c:f>
              <c:numCache>
                <c:formatCode>General</c:formatCode>
                <c:ptCount val="6"/>
                <c:pt idx="0">
                  <c:v>341.27639999999997</c:v>
                </c:pt>
                <c:pt idx="1">
                  <c:v>341.46359999999999</c:v>
                </c:pt>
                <c:pt idx="2">
                  <c:v>170.18279999999999</c:v>
                </c:pt>
                <c:pt idx="3">
                  <c:v>208.81440000000001</c:v>
                </c:pt>
                <c:pt idx="4">
                  <c:v>309.51</c:v>
                </c:pt>
                <c:pt idx="5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6-45FF-AB48-671D3EEA354E}"/>
            </c:ext>
          </c:extLst>
        </c:ser>
        <c:ser>
          <c:idx val="3"/>
          <c:order val="3"/>
          <c:tx>
            <c:strRef>
              <c:f>Cal_Generation!$B$45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Cal_Generation!$C$45:$H$45</c:f>
              <c:numCache>
                <c:formatCode>General</c:formatCode>
                <c:ptCount val="6"/>
                <c:pt idx="0">
                  <c:v>198.3708</c:v>
                </c:pt>
                <c:pt idx="1">
                  <c:v>223.16399999999999</c:v>
                </c:pt>
                <c:pt idx="2">
                  <c:v>206.298</c:v>
                </c:pt>
                <c:pt idx="3">
                  <c:v>200.7576</c:v>
                </c:pt>
                <c:pt idx="4">
                  <c:v>210.92400000000001</c:v>
                </c:pt>
                <c:pt idx="5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B6-45FF-AB48-671D3EEA354E}"/>
            </c:ext>
          </c:extLst>
        </c:ser>
        <c:ser>
          <c:idx val="4"/>
          <c:order val="4"/>
          <c:tx>
            <c:strRef>
              <c:f>Cal_Generation!$B$46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Cal_Generation!$C$46:$H$46</c:f>
              <c:numCache>
                <c:formatCode>General</c:formatCode>
                <c:ptCount val="6"/>
                <c:pt idx="0">
                  <c:v>109.8792</c:v>
                </c:pt>
                <c:pt idx="1">
                  <c:v>163.83959999999999</c:v>
                </c:pt>
                <c:pt idx="2">
                  <c:v>154.6884</c:v>
                </c:pt>
                <c:pt idx="3">
                  <c:v>132.49080000000001</c:v>
                </c:pt>
                <c:pt idx="4">
                  <c:v>79.5672</c:v>
                </c:pt>
                <c:pt idx="5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B6-45FF-AB48-671D3EEA354E}"/>
            </c:ext>
          </c:extLst>
        </c:ser>
        <c:ser>
          <c:idx val="5"/>
          <c:order val="5"/>
          <c:tx>
            <c:strRef>
              <c:f>Cal_Generation!$B$47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Cal_Generation!$C$47:$H$47</c:f>
              <c:numCache>
                <c:formatCode>General</c:formatCode>
                <c:ptCount val="6"/>
                <c:pt idx="0">
                  <c:v>7.7795999999999994</c:v>
                </c:pt>
                <c:pt idx="1">
                  <c:v>12.0816</c:v>
                </c:pt>
                <c:pt idx="2">
                  <c:v>17.020800000000001</c:v>
                </c:pt>
                <c:pt idx="3">
                  <c:v>18.561599999999999</c:v>
                </c:pt>
                <c:pt idx="4">
                  <c:v>21.366</c:v>
                </c:pt>
                <c:pt idx="5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B6-45FF-AB48-671D3EEA354E}"/>
            </c:ext>
          </c:extLst>
        </c:ser>
        <c:ser>
          <c:idx val="6"/>
          <c:order val="6"/>
          <c:tx>
            <c:strRef>
              <c:f>Cal_Generation!$B$48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Cal_Generation!$C$48:$H$48</c:f>
              <c:numCache>
                <c:formatCode>General</c:formatCode>
                <c:ptCount val="6"/>
                <c:pt idx="0">
                  <c:v>99.244799999999998</c:v>
                </c:pt>
                <c:pt idx="1">
                  <c:v>159.37559999999999</c:v>
                </c:pt>
                <c:pt idx="2">
                  <c:v>187.24680000000001</c:v>
                </c:pt>
                <c:pt idx="3">
                  <c:v>183.22559999999999</c:v>
                </c:pt>
                <c:pt idx="4">
                  <c:v>226.0224</c:v>
                </c:pt>
                <c:pt idx="5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B6-45FF-AB48-671D3EEA354E}"/>
            </c:ext>
          </c:extLst>
        </c:ser>
        <c:ser>
          <c:idx val="7"/>
          <c:order val="7"/>
          <c:tx>
            <c:strRef>
              <c:f>Cal_Generation!$B$49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Cal_Generation!$C$49:$H$49</c:f>
              <c:numCache>
                <c:formatCode>General</c:formatCode>
                <c:ptCount val="6"/>
                <c:pt idx="0">
                  <c:v>1.8539999999999999</c:v>
                </c:pt>
                <c:pt idx="1">
                  <c:v>25.869599999999998</c:v>
                </c:pt>
                <c:pt idx="2">
                  <c:v>49.215599999999995</c:v>
                </c:pt>
                <c:pt idx="3">
                  <c:v>45.878399999999999</c:v>
                </c:pt>
                <c:pt idx="4">
                  <c:v>128.6028</c:v>
                </c:pt>
                <c:pt idx="5">
                  <c:v>209.85119999999998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B6-45FF-AB48-671D3EEA354E}"/>
            </c:ext>
          </c:extLst>
        </c:ser>
        <c:ser>
          <c:idx val="8"/>
          <c:order val="8"/>
          <c:tx>
            <c:strRef>
              <c:f>Cal_Generation!$B$50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Cal_Generation!$C$41:$H$41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Cal_Generation!$C$50:$H$50</c:f>
              <c:numCache>
                <c:formatCode>General</c:formatCode>
                <c:ptCount val="6"/>
                <c:pt idx="0">
                  <c:v>1.1663999999999999</c:v>
                </c:pt>
                <c:pt idx="1">
                  <c:v>0.57240000000000002</c:v>
                </c:pt>
                <c:pt idx="2">
                  <c:v>0</c:v>
                </c:pt>
                <c:pt idx="3">
                  <c:v>0.33839999999999998</c:v>
                </c:pt>
                <c:pt idx="4">
                  <c:v>1.0151999999999999</c:v>
                </c:pt>
                <c:pt idx="5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B6-45FF-AB48-671D3EEA3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7507023"/>
        <c:axId val="607507503"/>
      </c:barChart>
      <c:catAx>
        <c:axId val="607507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503"/>
        <c:crosses val="autoZero"/>
        <c:auto val="1"/>
        <c:lblAlgn val="ctr"/>
        <c:lblOffset val="100"/>
        <c:noMultiLvlLbl val="0"/>
      </c:catAx>
      <c:valAx>
        <c:axId val="6075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Cal_Generation!$B$30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Cal_Generation!$C$30:$H$30</c:f>
              <c:numCache>
                <c:formatCode>General</c:formatCode>
                <c:ptCount val="6"/>
                <c:pt idx="0">
                  <c:v>266.70999999999998</c:v>
                </c:pt>
                <c:pt idx="1">
                  <c:v>94.568830910453428</c:v>
                </c:pt>
                <c:pt idx="2">
                  <c:v>159.79000000000011</c:v>
                </c:pt>
                <c:pt idx="3">
                  <c:v>132.3730000000001</c:v>
                </c:pt>
                <c:pt idx="4">
                  <c:v>29.734999999999989</c:v>
                </c:pt>
                <c:pt idx="5">
                  <c:v>11.856000000000005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9-447F-A9F2-D11E157D9C92}"/>
            </c:ext>
          </c:extLst>
        </c:ser>
        <c:ser>
          <c:idx val="1"/>
          <c:order val="1"/>
          <c:tx>
            <c:strRef>
              <c:f>Cal_Generation!$B$31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Cal_Generation!$C$31:$H$31</c:f>
              <c:numCache>
                <c:formatCode>General</c:formatCode>
                <c:ptCount val="6"/>
                <c:pt idx="0">
                  <c:v>66.628799999999998</c:v>
                </c:pt>
                <c:pt idx="1">
                  <c:v>65.585520000000002</c:v>
                </c:pt>
                <c:pt idx="2">
                  <c:v>48.293819999999997</c:v>
                </c:pt>
                <c:pt idx="3">
                  <c:v>49.583159999999999</c:v>
                </c:pt>
                <c:pt idx="4">
                  <c:v>36.217799999999997</c:v>
                </c:pt>
                <c:pt idx="5">
                  <c:v>30.513999999999989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9-447F-A9F2-D11E157D9C92}"/>
            </c:ext>
          </c:extLst>
        </c:ser>
        <c:ser>
          <c:idx val="2"/>
          <c:order val="2"/>
          <c:tx>
            <c:strRef>
              <c:f>Cal_Generation!$B$32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Cal_Generation!$C$32:$H$32</c:f>
              <c:numCache>
                <c:formatCode>General</c:formatCode>
                <c:ptCount val="6"/>
                <c:pt idx="0">
                  <c:v>341.27640000000008</c:v>
                </c:pt>
                <c:pt idx="1">
                  <c:v>341.46359999999999</c:v>
                </c:pt>
                <c:pt idx="2">
                  <c:v>179.5431599999998</c:v>
                </c:pt>
                <c:pt idx="3">
                  <c:v>198.37367999999961</c:v>
                </c:pt>
                <c:pt idx="4">
                  <c:v>294.03450000000055</c:v>
                </c:pt>
                <c:pt idx="5">
                  <c:v>182.13954350934227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9-447F-A9F2-D11E157D9C92}"/>
            </c:ext>
          </c:extLst>
        </c:ser>
        <c:ser>
          <c:idx val="3"/>
          <c:order val="3"/>
          <c:tx>
            <c:strRef>
              <c:f>Cal_Generation!$B$33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Cal_Generation!$C$33:$H$33</c:f>
              <c:numCache>
                <c:formatCode>General</c:formatCode>
                <c:ptCount val="6"/>
                <c:pt idx="0">
                  <c:v>198.37</c:v>
                </c:pt>
                <c:pt idx="1">
                  <c:v>218.93267982188161</c:v>
                </c:pt>
                <c:pt idx="2">
                  <c:v>211.76298686064999</c:v>
                </c:pt>
                <c:pt idx="3">
                  <c:v>196.4373620758995</c:v>
                </c:pt>
                <c:pt idx="4">
                  <c:v>218.93267982188161</c:v>
                </c:pt>
                <c:pt idx="5">
                  <c:v>215.94100000000009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9-447F-A9F2-D11E157D9C92}"/>
            </c:ext>
          </c:extLst>
        </c:ser>
        <c:ser>
          <c:idx val="4"/>
          <c:order val="4"/>
          <c:tx>
            <c:strRef>
              <c:f>Cal_Generation!$B$34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Cal_Generation!$C$34:$H$34</c:f>
              <c:numCache>
                <c:formatCode>General</c:formatCode>
                <c:ptCount val="6"/>
                <c:pt idx="0">
                  <c:v>109.87919999999998</c:v>
                </c:pt>
                <c:pt idx="1">
                  <c:v>163.83959999999996</c:v>
                </c:pt>
                <c:pt idx="2">
                  <c:v>154.68839999999997</c:v>
                </c:pt>
                <c:pt idx="3">
                  <c:v>132.95339999999999</c:v>
                </c:pt>
                <c:pt idx="4">
                  <c:v>87.523920000000004</c:v>
                </c:pt>
                <c:pt idx="5">
                  <c:v>146.95559999999995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09-447F-A9F2-D11E157D9C92}"/>
            </c:ext>
          </c:extLst>
        </c:ser>
        <c:ser>
          <c:idx val="5"/>
          <c:order val="5"/>
          <c:tx>
            <c:strRef>
              <c:f>Cal_Generation!$B$35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Cal_Generation!$C$35:$H$35</c:f>
              <c:numCache>
                <c:formatCode>General</c:formatCode>
                <c:ptCount val="6"/>
                <c:pt idx="0">
                  <c:v>7.390620000000002</c:v>
                </c:pt>
                <c:pt idx="1">
                  <c:v>11.47752</c:v>
                </c:pt>
                <c:pt idx="2">
                  <c:v>16.16976</c:v>
                </c:pt>
                <c:pt idx="3">
                  <c:v>16.422840000000001</c:v>
                </c:pt>
                <c:pt idx="4">
                  <c:v>19.505970000000008</c:v>
                </c:pt>
                <c:pt idx="5">
                  <c:v>18.19098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09-447F-A9F2-D11E157D9C92}"/>
            </c:ext>
          </c:extLst>
        </c:ser>
        <c:ser>
          <c:idx val="6"/>
          <c:order val="6"/>
          <c:tx>
            <c:strRef>
              <c:f>Cal_Generation!$B$36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Cal_Generation!$C$36:$H$36</c:f>
              <c:numCache>
                <c:formatCode>General</c:formatCode>
                <c:ptCount val="6"/>
                <c:pt idx="0">
                  <c:v>94.277999999999992</c:v>
                </c:pt>
                <c:pt idx="1">
                  <c:v>169.19500000000005</c:v>
                </c:pt>
                <c:pt idx="2">
                  <c:v>177.88750000000007</c:v>
                </c:pt>
                <c:pt idx="3">
                  <c:v>174.06850000000003</c:v>
                </c:pt>
                <c:pt idx="4">
                  <c:v>218.00362155117051</c:v>
                </c:pt>
                <c:pt idx="5">
                  <c:v>222.89844034123342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09-447F-A9F2-D11E157D9C92}"/>
            </c:ext>
          </c:extLst>
        </c:ser>
        <c:ser>
          <c:idx val="7"/>
          <c:order val="7"/>
          <c:tx>
            <c:strRef>
              <c:f>Cal_Generation!$B$37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Cal_Generation!$C$37:$H$37</c:f>
              <c:numCache>
                <c:formatCode>General</c:formatCode>
                <c:ptCount val="6"/>
                <c:pt idx="0">
                  <c:v>1.7613000000000001</c:v>
                </c:pt>
                <c:pt idx="1">
                  <c:v>24.576119999999985</c:v>
                </c:pt>
                <c:pt idx="2">
                  <c:v>47.397779999999997</c:v>
                </c:pt>
                <c:pt idx="3">
                  <c:v>51.652259999999998</c:v>
                </c:pt>
                <c:pt idx="4">
                  <c:v>122.17265999999989</c:v>
                </c:pt>
                <c:pt idx="5">
                  <c:v>199.34496000000001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09-447F-A9F2-D11E157D9C92}"/>
            </c:ext>
          </c:extLst>
        </c:ser>
        <c:ser>
          <c:idx val="8"/>
          <c:order val="8"/>
          <c:tx>
            <c:strRef>
              <c:f>Cal_Generation!$B$38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Cal_Generation!$C$29:$H$29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Cal_Generation!$C$38:$H$38</c:f>
              <c:numCache>
                <c:formatCode>General</c:formatCode>
                <c:ptCount val="6"/>
                <c:pt idx="0">
                  <c:v>0</c:v>
                </c:pt>
                <c:pt idx="1">
                  <c:v>0.6</c:v>
                </c:pt>
                <c:pt idx="2">
                  <c:v>0</c:v>
                </c:pt>
                <c:pt idx="3">
                  <c:v>0</c:v>
                </c:pt>
                <c:pt idx="4">
                  <c:v>0.29749999999999999</c:v>
                </c:pt>
                <c:pt idx="5">
                  <c:v>0.27625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09-447F-A9F2-D11E157D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582735"/>
        <c:axId val="1909583695"/>
      </c:barChart>
      <c:catAx>
        <c:axId val="190958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3695"/>
        <c:crosses val="autoZero"/>
        <c:auto val="1"/>
        <c:lblAlgn val="ctr"/>
        <c:lblOffset val="100"/>
        <c:noMultiLvlLbl val="0"/>
      </c:catAx>
      <c:valAx>
        <c:axId val="19095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20955</xdr:colOff>
      <xdr:row>16</xdr:row>
      <xdr:rowOff>148590</xdr:rowOff>
    </xdr:from>
    <xdr:to>
      <xdr:col>28</xdr:col>
      <xdr:colOff>152400</xdr:colOff>
      <xdr:row>44</xdr:row>
      <xdr:rowOff>57150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403860</xdr:colOff>
      <xdr:row>8</xdr:row>
      <xdr:rowOff>22860</xdr:rowOff>
    </xdr:from>
    <xdr:to>
      <xdr:col>22</xdr:col>
      <xdr:colOff>304800</xdr:colOff>
      <xdr:row>33</xdr:row>
      <xdr:rowOff>121920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464820</xdr:colOff>
      <xdr:row>26</xdr:row>
      <xdr:rowOff>41910</xdr:rowOff>
    </xdr:from>
    <xdr:to>
      <xdr:col>25</xdr:col>
      <xdr:colOff>160020</xdr:colOff>
      <xdr:row>41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5F096EC-96C1-719B-522E-79BADB78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434340</xdr:colOff>
      <xdr:row>26</xdr:row>
      <xdr:rowOff>57150</xdr:rowOff>
    </xdr:from>
    <xdr:to>
      <xdr:col>17</xdr:col>
      <xdr:colOff>160020</xdr:colOff>
      <xdr:row>41</xdr:row>
      <xdr:rowOff>57150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10FC5B8-4E48-33B3-5B0C-2023A5A85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211666</xdr:colOff>
      <xdr:row>1</xdr:row>
      <xdr:rowOff>93132</xdr:rowOff>
    </xdr:from>
    <xdr:to>
      <xdr:col>20</xdr:col>
      <xdr:colOff>419099</xdr:colOff>
      <xdr:row>18</xdr:row>
      <xdr:rowOff>86782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27CECEC-B5DB-A996-813C-E2E75B7D6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222671</xdr:colOff>
      <xdr:row>15</xdr:row>
      <xdr:rowOff>169332</xdr:rowOff>
    </xdr:from>
    <xdr:to>
      <xdr:col>20</xdr:col>
      <xdr:colOff>448732</xdr:colOff>
      <xdr:row>33</xdr:row>
      <xdr:rowOff>36829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41E64DF8-E3CB-D6DD-ECEA-52B8349B0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D301"/>
  <sheetViews>
    <sheetView topLeftCell="C1" zoomScale="80" zoomScaleNormal="80" workbookViewId="0">
      <selection activeCell="N5" sqref="N5"/>
    </sheetView>
  </sheetViews>
  <sheetFormatPr defaultRowHeight="14.4" x14ac:dyDescent="0.3"/>
  <cols>
    <col min="1" max="1" width="34.109375" bestFit="1" customWidth="1"/>
    <col min="11" max="11" width="16.332031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</row>
    <row r="2" spans="1:30" x14ac:dyDescent="0.3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2006</v>
      </c>
      <c r="M2">
        <v>2007</v>
      </c>
      <c r="N2">
        <v>2008</v>
      </c>
      <c r="O2">
        <v>2009</v>
      </c>
      <c r="P2">
        <v>2010</v>
      </c>
      <c r="Q2">
        <v>2011</v>
      </c>
      <c r="R2">
        <v>2012</v>
      </c>
      <c r="S2">
        <v>2013</v>
      </c>
      <c r="T2">
        <v>2014</v>
      </c>
      <c r="U2">
        <v>2015</v>
      </c>
      <c r="V2">
        <v>2016</v>
      </c>
      <c r="W2">
        <v>2017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</row>
    <row r="3" spans="1:30" x14ac:dyDescent="0.3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244.7208</v>
      </c>
      <c r="M3">
        <f t="shared" ref="L3:U14" si="0">SUMIFS($B:$B,$A:$A,$K3,$C:$C,M$2)*0.0036</f>
        <v>266.70600000000002</v>
      </c>
      <c r="N3">
        <f t="shared" si="0"/>
        <v>179.90279999999998</v>
      </c>
      <c r="O3">
        <f t="shared" si="0"/>
        <v>132.9768</v>
      </c>
      <c r="P3">
        <f t="shared" si="0"/>
        <v>94.762799999999999</v>
      </c>
      <c r="Q3">
        <f t="shared" si="0"/>
        <v>162.45359999999999</v>
      </c>
      <c r="R3">
        <f t="shared" si="0"/>
        <v>201.5676</v>
      </c>
      <c r="S3">
        <f t="shared" si="0"/>
        <v>148.79519999999999</v>
      </c>
      <c r="T3">
        <f t="shared" si="0"/>
        <v>163.06199999999998</v>
      </c>
      <c r="U3">
        <f t="shared" si="0"/>
        <v>189.6336</v>
      </c>
      <c r="V3">
        <f t="shared" ref="V3:AD14" si="1">SUMIFS($B:$B,$A:$A,$K3,$C:$C,V$2)*0.0036</f>
        <v>134.83079999999998</v>
      </c>
      <c r="W3">
        <f t="shared" si="1"/>
        <v>166.85640000000001</v>
      </c>
      <c r="X3">
        <f t="shared" si="1"/>
        <v>139.3776</v>
      </c>
      <c r="Y3">
        <f t="shared" si="1"/>
        <v>50.3352</v>
      </c>
      <c r="Z3">
        <f t="shared" si="1"/>
        <v>22.136399999999998</v>
      </c>
      <c r="AA3">
        <f t="shared" si="1"/>
        <v>21.650399999999998</v>
      </c>
      <c r="AB3">
        <f t="shared" si="1"/>
        <v>31.305599999999998</v>
      </c>
      <c r="AC3">
        <f t="shared" si="1"/>
        <v>16.02</v>
      </c>
      <c r="AD3">
        <f t="shared" si="1"/>
        <v>12.477599999999999</v>
      </c>
    </row>
    <row r="4" spans="1:30" x14ac:dyDescent="0.3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si="0"/>
        <v>85.784399999999991</v>
      </c>
      <c r="M4">
        <f t="shared" si="0"/>
        <v>66.628799999999998</v>
      </c>
      <c r="N4">
        <f t="shared" si="0"/>
        <v>64.807199999999995</v>
      </c>
      <c r="O4">
        <f t="shared" si="0"/>
        <v>69.271199999999993</v>
      </c>
      <c r="P4">
        <f t="shared" si="0"/>
        <v>59.623199999999997</v>
      </c>
      <c r="Q4">
        <f t="shared" si="0"/>
        <v>52.891199999999998</v>
      </c>
      <c r="R4">
        <f t="shared" si="0"/>
        <v>55.1556</v>
      </c>
      <c r="S4">
        <f t="shared" si="0"/>
        <v>49.546799999999998</v>
      </c>
      <c r="T4">
        <f t="shared" si="0"/>
        <v>50.835599999999999</v>
      </c>
      <c r="U4">
        <f t="shared" si="0"/>
        <v>62.067599999999999</v>
      </c>
      <c r="V4">
        <f t="shared" si="1"/>
        <v>60.915599999999998</v>
      </c>
      <c r="W4">
        <f t="shared" si="1"/>
        <v>56.757599999999996</v>
      </c>
      <c r="X4">
        <f t="shared" si="1"/>
        <v>52.192799999999998</v>
      </c>
      <c r="Y4">
        <f t="shared" si="1"/>
        <v>46.378799999999998</v>
      </c>
      <c r="Z4">
        <f t="shared" si="1"/>
        <v>38.534399999999998</v>
      </c>
      <c r="AA4">
        <f t="shared" si="1"/>
        <v>36.1584</v>
      </c>
      <c r="AB4">
        <f t="shared" si="1"/>
        <v>38.124000000000002</v>
      </c>
      <c r="AC4">
        <f t="shared" si="1"/>
        <v>33.436799999999998</v>
      </c>
      <c r="AD4">
        <f t="shared" si="1"/>
        <v>32.842799999999997</v>
      </c>
    </row>
    <row r="5" spans="1:30" x14ac:dyDescent="0.3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0"/>
        <v>326.05199999999996</v>
      </c>
      <c r="M5">
        <f t="shared" si="0"/>
        <v>341.27639999999997</v>
      </c>
      <c r="N5">
        <f t="shared" si="0"/>
        <v>434.87279999999998</v>
      </c>
      <c r="O5">
        <f t="shared" si="0"/>
        <v>387.88560000000001</v>
      </c>
      <c r="P5">
        <f t="shared" si="0"/>
        <v>341.46359999999999</v>
      </c>
      <c r="Q5">
        <f t="shared" si="0"/>
        <v>307.8288</v>
      </c>
      <c r="R5">
        <f t="shared" si="0"/>
        <v>263.90879999999999</v>
      </c>
      <c r="S5">
        <f t="shared" si="0"/>
        <v>207.12959999999998</v>
      </c>
      <c r="T5">
        <f t="shared" si="0"/>
        <v>170.18279999999999</v>
      </c>
      <c r="U5">
        <f t="shared" si="0"/>
        <v>188.99279999999999</v>
      </c>
      <c r="V5">
        <f t="shared" si="1"/>
        <v>190.15199999999999</v>
      </c>
      <c r="W5">
        <f t="shared" si="1"/>
        <v>230.53319999999999</v>
      </c>
      <c r="X5">
        <f t="shared" si="1"/>
        <v>208.81440000000001</v>
      </c>
      <c r="Y5">
        <f t="shared" si="1"/>
        <v>301.33080000000001</v>
      </c>
      <c r="Z5">
        <f t="shared" si="1"/>
        <v>251.06039999999999</v>
      </c>
      <c r="AA5">
        <f t="shared" si="1"/>
        <v>257.40719999999999</v>
      </c>
      <c r="AB5">
        <f t="shared" si="1"/>
        <v>309.51</v>
      </c>
      <c r="AC5">
        <f t="shared" si="1"/>
        <v>231.3792</v>
      </c>
      <c r="AD5">
        <f t="shared" si="1"/>
        <v>188.3844</v>
      </c>
    </row>
    <row r="6" spans="1:30" x14ac:dyDescent="0.3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0"/>
        <v>216.45359999999999</v>
      </c>
      <c r="M6">
        <f t="shared" si="0"/>
        <v>198.3708</v>
      </c>
      <c r="N6">
        <f t="shared" si="0"/>
        <v>212.30279999999999</v>
      </c>
      <c r="O6">
        <f t="shared" si="0"/>
        <v>189.93959999999998</v>
      </c>
      <c r="P6">
        <f t="shared" si="0"/>
        <v>223.16399999999999</v>
      </c>
      <c r="Q6">
        <f t="shared" si="0"/>
        <v>207.78479999999999</v>
      </c>
      <c r="R6">
        <f t="shared" si="0"/>
        <v>221.292</v>
      </c>
      <c r="S6">
        <f t="shared" si="0"/>
        <v>204.21359999999999</v>
      </c>
      <c r="T6">
        <f t="shared" si="0"/>
        <v>206.298</v>
      </c>
      <c r="U6">
        <f t="shared" si="0"/>
        <v>205.90559999999999</v>
      </c>
      <c r="V6">
        <f t="shared" si="1"/>
        <v>211.0788</v>
      </c>
      <c r="W6">
        <f t="shared" si="1"/>
        <v>208.94039999999998</v>
      </c>
      <c r="X6">
        <f t="shared" si="1"/>
        <v>200.7576</v>
      </c>
      <c r="Y6">
        <f t="shared" si="1"/>
        <v>210.0564</v>
      </c>
      <c r="Z6">
        <f t="shared" si="1"/>
        <v>209.87639999999999</v>
      </c>
      <c r="AA6">
        <f t="shared" si="1"/>
        <v>203.63039999999998</v>
      </c>
      <c r="AB6">
        <f t="shared" si="1"/>
        <v>210.92400000000001</v>
      </c>
      <c r="AC6">
        <f t="shared" si="1"/>
        <v>204.74279999999999</v>
      </c>
      <c r="AD6">
        <f t="shared" si="1"/>
        <v>196.3152</v>
      </c>
    </row>
    <row r="7" spans="1:30" x14ac:dyDescent="0.3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0"/>
        <v>107.3916</v>
      </c>
      <c r="M7">
        <f t="shared" si="0"/>
        <v>109.8792</v>
      </c>
      <c r="N7">
        <f t="shared" si="0"/>
        <v>94.118399999999994</v>
      </c>
      <c r="O7">
        <f t="shared" si="0"/>
        <v>104.9832</v>
      </c>
      <c r="P7">
        <f t="shared" si="0"/>
        <v>163.83959999999999</v>
      </c>
      <c r="Q7">
        <f t="shared" si="0"/>
        <v>118.47959999999999</v>
      </c>
      <c r="R7">
        <f t="shared" si="0"/>
        <v>86.983199999999997</v>
      </c>
      <c r="S7">
        <f t="shared" si="0"/>
        <v>147.78719999999998</v>
      </c>
      <c r="T7">
        <f t="shared" si="0"/>
        <v>154.6884</v>
      </c>
      <c r="U7">
        <f t="shared" si="0"/>
        <v>112.92479999999999</v>
      </c>
      <c r="V7">
        <f t="shared" si="1"/>
        <v>143.51400000000001</v>
      </c>
      <c r="W7">
        <f t="shared" si="1"/>
        <v>75.852000000000004</v>
      </c>
      <c r="X7">
        <f t="shared" si="1"/>
        <v>132.49080000000001</v>
      </c>
      <c r="Y7">
        <f t="shared" si="1"/>
        <v>96.746399999999994</v>
      </c>
      <c r="Z7">
        <f t="shared" si="1"/>
        <v>122.39279999999999</v>
      </c>
      <c r="AA7">
        <f t="shared" si="1"/>
        <v>118.2492</v>
      </c>
      <c r="AB7">
        <f t="shared" si="1"/>
        <v>79.5672</v>
      </c>
      <c r="AC7">
        <f t="shared" si="1"/>
        <v>111.97799999999999</v>
      </c>
      <c r="AD7">
        <f t="shared" si="1"/>
        <v>146.9556</v>
      </c>
    </row>
    <row r="8" spans="1:30" x14ac:dyDescent="0.3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7.1999999999999995E-2</v>
      </c>
      <c r="Z8">
        <f t="shared" si="1"/>
        <v>9.7199999999999995E-2</v>
      </c>
      <c r="AA8">
        <f t="shared" si="1"/>
        <v>6.8400000000000002E-2</v>
      </c>
      <c r="AB8">
        <f t="shared" si="1"/>
        <v>8.2799999999999999E-2</v>
      </c>
      <c r="AC8">
        <f t="shared" si="1"/>
        <v>4.3200000000000002E-2</v>
      </c>
      <c r="AD8">
        <f t="shared" si="1"/>
        <v>2.8799999999999999E-2</v>
      </c>
    </row>
    <row r="9" spans="1:30" x14ac:dyDescent="0.3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0"/>
        <v>7.8228</v>
      </c>
      <c r="M9">
        <f t="shared" si="0"/>
        <v>7.7795999999999994</v>
      </c>
      <c r="N9">
        <f t="shared" si="0"/>
        <v>8.9027999999999992</v>
      </c>
      <c r="O9">
        <f t="shared" si="0"/>
        <v>9.8171999999999997</v>
      </c>
      <c r="P9">
        <f t="shared" si="0"/>
        <v>12.0816</v>
      </c>
      <c r="Q9">
        <f t="shared" si="0"/>
        <v>13.730399999999999</v>
      </c>
      <c r="R9">
        <f t="shared" si="0"/>
        <v>15.3432</v>
      </c>
      <c r="S9">
        <f t="shared" si="0"/>
        <v>18.4176</v>
      </c>
      <c r="T9">
        <f t="shared" si="0"/>
        <v>17.020800000000001</v>
      </c>
      <c r="U9">
        <f t="shared" si="0"/>
        <v>17.985599999999998</v>
      </c>
      <c r="V9">
        <f t="shared" si="1"/>
        <v>17.834399999999999</v>
      </c>
      <c r="W9">
        <f t="shared" si="1"/>
        <v>19.101600000000001</v>
      </c>
      <c r="X9">
        <f t="shared" si="1"/>
        <v>18.561599999999999</v>
      </c>
      <c r="Y9">
        <f t="shared" si="1"/>
        <v>17.287199999999999</v>
      </c>
      <c r="Z9">
        <f t="shared" si="1"/>
        <v>19.565999999999999</v>
      </c>
      <c r="AA9">
        <f t="shared" si="1"/>
        <v>21.916799999999999</v>
      </c>
      <c r="AB9">
        <f t="shared" si="1"/>
        <v>21.366</v>
      </c>
      <c r="AC9">
        <f t="shared" si="1"/>
        <v>18.223199999999999</v>
      </c>
      <c r="AD9">
        <f t="shared" si="1"/>
        <v>19.148399999999999</v>
      </c>
    </row>
    <row r="10" spans="1:30" x14ac:dyDescent="0.3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0"/>
        <v>4.3271999999999995</v>
      </c>
      <c r="M10">
        <f t="shared" si="0"/>
        <v>5.3064</v>
      </c>
      <c r="N10">
        <f t="shared" si="0"/>
        <v>5.6303999999999998</v>
      </c>
      <c r="O10">
        <f t="shared" si="0"/>
        <v>5.4791999999999996</v>
      </c>
      <c r="P10">
        <f t="shared" si="0"/>
        <v>4.7447999999999997</v>
      </c>
      <c r="Q10">
        <f t="shared" si="0"/>
        <v>5.7240000000000002</v>
      </c>
      <c r="R10">
        <f t="shared" si="0"/>
        <v>5.1479999999999997</v>
      </c>
      <c r="S10">
        <f t="shared" si="0"/>
        <v>4.9104000000000001</v>
      </c>
      <c r="T10">
        <f t="shared" si="0"/>
        <v>4.9391999999999996</v>
      </c>
      <c r="U10">
        <f t="shared" si="0"/>
        <v>5.5296000000000003</v>
      </c>
      <c r="V10">
        <f t="shared" si="1"/>
        <v>5.2919999999999998</v>
      </c>
      <c r="W10">
        <f t="shared" si="1"/>
        <v>5.5583999999999998</v>
      </c>
      <c r="X10">
        <f t="shared" si="1"/>
        <v>6.39</v>
      </c>
      <c r="Y10">
        <f t="shared" si="1"/>
        <v>6.3179999999999996</v>
      </c>
      <c r="Z10">
        <f t="shared" si="1"/>
        <v>6.3035999999999994</v>
      </c>
      <c r="AA10">
        <f t="shared" si="1"/>
        <v>6.4619999999999997</v>
      </c>
      <c r="AB10">
        <f t="shared" si="1"/>
        <v>6.3144</v>
      </c>
      <c r="AC10">
        <f t="shared" si="1"/>
        <v>6.0587999999999997</v>
      </c>
      <c r="AD10">
        <f t="shared" si="1"/>
        <v>6.0695999999999994</v>
      </c>
    </row>
    <row r="11" spans="1:30" x14ac:dyDescent="0.3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0"/>
        <v>83.869199999999992</v>
      </c>
      <c r="M11">
        <f t="shared" si="0"/>
        <v>99.244799999999998</v>
      </c>
      <c r="N11">
        <f t="shared" si="0"/>
        <v>118.6056</v>
      </c>
      <c r="O11">
        <f t="shared" si="0"/>
        <v>137.22120000000001</v>
      </c>
      <c r="P11">
        <f t="shared" si="0"/>
        <v>159.37559999999999</v>
      </c>
      <c r="Q11">
        <f t="shared" si="0"/>
        <v>154.50479999999999</v>
      </c>
      <c r="R11">
        <f t="shared" si="0"/>
        <v>178.0992</v>
      </c>
      <c r="S11">
        <f t="shared" si="0"/>
        <v>200.32560000000001</v>
      </c>
      <c r="T11">
        <f t="shared" si="0"/>
        <v>187.24680000000001</v>
      </c>
      <c r="U11">
        <f t="shared" si="0"/>
        <v>177.57</v>
      </c>
      <c r="V11">
        <f t="shared" si="1"/>
        <v>176.05799999999999</v>
      </c>
      <c r="W11">
        <f t="shared" si="1"/>
        <v>176.85720000000001</v>
      </c>
      <c r="X11">
        <f t="shared" si="1"/>
        <v>183.22559999999999</v>
      </c>
      <c r="Y11">
        <f t="shared" si="1"/>
        <v>200.32919999999999</v>
      </c>
      <c r="Z11">
        <f t="shared" si="1"/>
        <v>203.19839999999999</v>
      </c>
      <c r="AA11">
        <f t="shared" si="1"/>
        <v>223.4196</v>
      </c>
      <c r="AB11">
        <f t="shared" si="1"/>
        <v>226.0224</v>
      </c>
      <c r="AC11">
        <f t="shared" si="1"/>
        <v>231.39</v>
      </c>
      <c r="AD11">
        <f t="shared" si="1"/>
        <v>223.5204</v>
      </c>
    </row>
    <row r="12" spans="1:30" x14ac:dyDescent="0.3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0"/>
        <v>0.44639999999999996</v>
      </c>
      <c r="M12">
        <f t="shared" si="0"/>
        <v>1.8251999999999999</v>
      </c>
      <c r="N12">
        <f t="shared" si="0"/>
        <v>9.2232000000000003</v>
      </c>
      <c r="O12">
        <f t="shared" si="0"/>
        <v>21.459599999999998</v>
      </c>
      <c r="P12">
        <f t="shared" si="0"/>
        <v>23.13</v>
      </c>
      <c r="Q12">
        <f t="shared" si="0"/>
        <v>26.783999999999999</v>
      </c>
      <c r="R12">
        <f t="shared" si="0"/>
        <v>29.491199999999999</v>
      </c>
      <c r="S12">
        <f t="shared" si="0"/>
        <v>29.973599999999998</v>
      </c>
      <c r="T12">
        <f t="shared" si="0"/>
        <v>29.581199999999999</v>
      </c>
      <c r="U12">
        <f t="shared" si="0"/>
        <v>29.7576</v>
      </c>
      <c r="V12">
        <f t="shared" si="1"/>
        <v>29.026799999999998</v>
      </c>
      <c r="W12">
        <f t="shared" si="1"/>
        <v>30.650399999999998</v>
      </c>
      <c r="X12">
        <f t="shared" si="1"/>
        <v>28.357199999999999</v>
      </c>
      <c r="Y12">
        <f t="shared" si="1"/>
        <v>33.911999999999999</v>
      </c>
      <c r="Z12">
        <f t="shared" si="1"/>
        <v>56.43</v>
      </c>
      <c r="AA12">
        <f t="shared" si="1"/>
        <v>78.919200000000004</v>
      </c>
      <c r="AB12">
        <f t="shared" si="1"/>
        <v>112.2732</v>
      </c>
      <c r="AC12">
        <f t="shared" si="1"/>
        <v>156.31559999999999</v>
      </c>
      <c r="AD12">
        <f t="shared" si="1"/>
        <v>193.50719999999998</v>
      </c>
    </row>
    <row r="13" spans="1:30" x14ac:dyDescent="0.3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0"/>
        <v>0</v>
      </c>
      <c r="M13">
        <f t="shared" si="0"/>
        <v>2.8799999999999999E-2</v>
      </c>
      <c r="N13">
        <f t="shared" si="0"/>
        <v>5.7599999999999998E-2</v>
      </c>
      <c r="O13">
        <f t="shared" si="0"/>
        <v>0.37079999999999996</v>
      </c>
      <c r="P13">
        <f t="shared" si="0"/>
        <v>2.7395999999999998</v>
      </c>
      <c r="Q13">
        <f t="shared" si="0"/>
        <v>7.0523999999999996</v>
      </c>
      <c r="R13">
        <f t="shared" si="0"/>
        <v>13.59</v>
      </c>
      <c r="S13">
        <f t="shared" si="0"/>
        <v>17.168399999999998</v>
      </c>
      <c r="T13">
        <f t="shared" si="0"/>
        <v>19.634399999999999</v>
      </c>
      <c r="U13">
        <f t="shared" si="0"/>
        <v>20.134799999999998</v>
      </c>
      <c r="V13">
        <f t="shared" si="1"/>
        <v>20.084399999999999</v>
      </c>
      <c r="W13">
        <f t="shared" si="1"/>
        <v>21.178799999999999</v>
      </c>
      <c r="X13">
        <f t="shared" si="1"/>
        <v>17.5212</v>
      </c>
      <c r="Y13">
        <f t="shared" si="1"/>
        <v>20.4588</v>
      </c>
      <c r="Z13">
        <f t="shared" si="1"/>
        <v>17.9712</v>
      </c>
      <c r="AA13">
        <f t="shared" si="1"/>
        <v>18.633599999999998</v>
      </c>
      <c r="AB13">
        <f t="shared" si="1"/>
        <v>16.329599999999999</v>
      </c>
      <c r="AC13">
        <f t="shared" si="1"/>
        <v>18.594000000000001</v>
      </c>
      <c r="AD13">
        <f t="shared" si="1"/>
        <v>16.344000000000001</v>
      </c>
    </row>
    <row r="14" spans="1:30" x14ac:dyDescent="0.3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0"/>
        <v>1.1843999999999999</v>
      </c>
      <c r="M14">
        <f t="shared" si="0"/>
        <v>1.1663999999999999</v>
      </c>
      <c r="N14">
        <f t="shared" si="0"/>
        <v>1.1052</v>
      </c>
      <c r="O14">
        <f t="shared" si="0"/>
        <v>1.2276</v>
      </c>
      <c r="P14">
        <f t="shared" si="0"/>
        <v>0.57240000000000002</v>
      </c>
      <c r="Q14">
        <f t="shared" si="0"/>
        <v>0.61560000000000004</v>
      </c>
      <c r="R14">
        <f t="shared" si="0"/>
        <v>0.63</v>
      </c>
      <c r="S14">
        <f t="shared" si="0"/>
        <v>0</v>
      </c>
      <c r="T14">
        <f t="shared" si="0"/>
        <v>0</v>
      </c>
      <c r="U14">
        <f t="shared" si="0"/>
        <v>0.77759999999999996</v>
      </c>
      <c r="V14">
        <f t="shared" si="1"/>
        <v>0.38879999999999998</v>
      </c>
      <c r="W14">
        <f t="shared" si="1"/>
        <v>0.3276</v>
      </c>
      <c r="X14">
        <f t="shared" si="1"/>
        <v>0.33839999999999998</v>
      </c>
      <c r="Y14">
        <f t="shared" si="1"/>
        <v>0.50039999999999996</v>
      </c>
      <c r="Z14">
        <f t="shared" si="1"/>
        <v>0.57599999999999996</v>
      </c>
      <c r="AA14">
        <f t="shared" si="1"/>
        <v>1.008</v>
      </c>
      <c r="AB14">
        <f t="shared" si="1"/>
        <v>1.0151999999999999</v>
      </c>
      <c r="AC14">
        <f t="shared" si="1"/>
        <v>0.98280000000000001</v>
      </c>
      <c r="AD14">
        <f t="shared" si="1"/>
        <v>0.87839999999999996</v>
      </c>
    </row>
    <row r="15" spans="1:30" x14ac:dyDescent="0.3">
      <c r="A15" t="s">
        <v>4</v>
      </c>
      <c r="B15">
        <v>41332</v>
      </c>
      <c r="C15">
        <v>2013</v>
      </c>
      <c r="D15" t="s">
        <v>5</v>
      </c>
      <c r="L15">
        <f>SUM(L3:L14)</f>
        <v>1078.0524000000003</v>
      </c>
      <c r="M15">
        <f t="shared" ref="M15:AD15" si="2">SUM(M3:M14)</f>
        <v>1098.2124000000001</v>
      </c>
      <c r="N15">
        <f t="shared" si="2"/>
        <v>1129.5287999999998</v>
      </c>
      <c r="O15">
        <f t="shared" si="2"/>
        <v>1060.6319999999998</v>
      </c>
      <c r="P15">
        <f t="shared" si="2"/>
        <v>1085.4972000000002</v>
      </c>
      <c r="Q15">
        <f t="shared" si="2"/>
        <v>1057.8492000000003</v>
      </c>
      <c r="R15">
        <f t="shared" si="2"/>
        <v>1071.2088000000001</v>
      </c>
      <c r="S15">
        <f t="shared" si="2"/>
        <v>1028.2679999999998</v>
      </c>
      <c r="T15">
        <f t="shared" si="2"/>
        <v>1003.4892</v>
      </c>
      <c r="U15">
        <f t="shared" si="2"/>
        <v>1011.2796000000001</v>
      </c>
      <c r="V15">
        <f t="shared" si="2"/>
        <v>989.17559999999992</v>
      </c>
      <c r="W15">
        <f t="shared" si="2"/>
        <v>992.61359999999991</v>
      </c>
      <c r="X15">
        <f t="shared" si="2"/>
        <v>988.02720000000011</v>
      </c>
      <c r="Y15">
        <f t="shared" si="2"/>
        <v>983.72520000000009</v>
      </c>
      <c r="Z15">
        <f t="shared" si="2"/>
        <v>948.14279999999997</v>
      </c>
      <c r="AA15">
        <f t="shared" si="2"/>
        <v>987.52319999999997</v>
      </c>
      <c r="AB15">
        <f t="shared" si="2"/>
        <v>1052.8344000000002</v>
      </c>
      <c r="AC15">
        <f t="shared" si="2"/>
        <v>1029.1643999999999</v>
      </c>
      <c r="AD15">
        <f t="shared" si="2"/>
        <v>1036.4724000000001</v>
      </c>
    </row>
    <row r="16" spans="1:30" x14ac:dyDescent="0.3">
      <c r="A16" t="s">
        <v>4</v>
      </c>
      <c r="B16">
        <v>45295</v>
      </c>
      <c r="C16">
        <v>2014</v>
      </c>
      <c r="D16" t="s">
        <v>5</v>
      </c>
      <c r="K16" t="s">
        <v>72</v>
      </c>
      <c r="L16">
        <f>L15/3.6</f>
        <v>299.45900000000006</v>
      </c>
      <c r="M16">
        <f t="shared" ref="M16:AD16" si="3">M15/3.6</f>
        <v>305.05900000000003</v>
      </c>
      <c r="N16">
        <f t="shared" si="3"/>
        <v>313.75799999999992</v>
      </c>
      <c r="O16">
        <f t="shared" si="3"/>
        <v>294.61999999999995</v>
      </c>
      <c r="P16">
        <f t="shared" si="3"/>
        <v>301.52700000000004</v>
      </c>
      <c r="Q16">
        <f t="shared" si="3"/>
        <v>293.84700000000009</v>
      </c>
      <c r="R16">
        <f t="shared" si="3"/>
        <v>297.55800000000005</v>
      </c>
      <c r="S16">
        <f t="shared" si="3"/>
        <v>285.62999999999994</v>
      </c>
      <c r="T16">
        <f t="shared" si="3"/>
        <v>278.74700000000001</v>
      </c>
      <c r="U16">
        <f t="shared" si="3"/>
        <v>280.911</v>
      </c>
      <c r="V16">
        <f t="shared" si="3"/>
        <v>274.77099999999996</v>
      </c>
      <c r="W16">
        <f t="shared" si="3"/>
        <v>275.72599999999994</v>
      </c>
      <c r="X16">
        <f t="shared" si="3"/>
        <v>274.452</v>
      </c>
      <c r="Y16">
        <f t="shared" si="3"/>
        <v>273.25700000000001</v>
      </c>
      <c r="Z16">
        <f t="shared" si="3"/>
        <v>263.37299999999999</v>
      </c>
      <c r="AA16">
        <f t="shared" si="3"/>
        <v>274.31200000000001</v>
      </c>
      <c r="AB16">
        <f t="shared" si="3"/>
        <v>292.45400000000006</v>
      </c>
      <c r="AC16">
        <f t="shared" si="3"/>
        <v>285.87899999999996</v>
      </c>
      <c r="AD16">
        <f t="shared" si="3"/>
        <v>287.90900000000005</v>
      </c>
    </row>
    <row r="17" spans="1:4" x14ac:dyDescent="0.3">
      <c r="A17" t="s">
        <v>4</v>
      </c>
      <c r="B17">
        <v>52676</v>
      </c>
      <c r="C17">
        <v>2015</v>
      </c>
      <c r="D17" t="s">
        <v>5</v>
      </c>
    </row>
    <row r="18" spans="1:4" x14ac:dyDescent="0.3">
      <c r="A18" t="s">
        <v>4</v>
      </c>
      <c r="B18">
        <v>37453</v>
      </c>
      <c r="C18">
        <v>2016</v>
      </c>
      <c r="D18" t="s">
        <v>5</v>
      </c>
    </row>
    <row r="19" spans="1:4" x14ac:dyDescent="0.3">
      <c r="A19" t="s">
        <v>4</v>
      </c>
      <c r="B19">
        <v>46349</v>
      </c>
      <c r="C19">
        <v>2017</v>
      </c>
      <c r="D19" t="s">
        <v>5</v>
      </c>
    </row>
    <row r="20" spans="1:4" x14ac:dyDescent="0.3">
      <c r="A20" t="s">
        <v>4</v>
      </c>
      <c r="B20">
        <v>38716</v>
      </c>
      <c r="C20">
        <v>2018</v>
      </c>
      <c r="D20" t="s">
        <v>5</v>
      </c>
    </row>
    <row r="21" spans="1:4" x14ac:dyDescent="0.3">
      <c r="A21" t="s">
        <v>4</v>
      </c>
      <c r="B21">
        <v>13982</v>
      </c>
      <c r="C21">
        <v>2019</v>
      </c>
      <c r="D21" t="s">
        <v>5</v>
      </c>
    </row>
    <row r="22" spans="1:4" x14ac:dyDescent="0.3">
      <c r="A22" t="s">
        <v>4</v>
      </c>
      <c r="B22">
        <v>6149</v>
      </c>
      <c r="C22">
        <v>2020</v>
      </c>
      <c r="D22" t="s">
        <v>5</v>
      </c>
    </row>
    <row r="23" spans="1:4" x14ac:dyDescent="0.3">
      <c r="A23" t="s">
        <v>4</v>
      </c>
      <c r="B23">
        <v>6014</v>
      </c>
      <c r="C23">
        <v>2021</v>
      </c>
      <c r="D23" t="s">
        <v>5</v>
      </c>
    </row>
    <row r="24" spans="1:4" x14ac:dyDescent="0.3">
      <c r="A24" t="s">
        <v>4</v>
      </c>
      <c r="B24">
        <v>8696</v>
      </c>
      <c r="C24">
        <v>2022</v>
      </c>
      <c r="D24" t="s">
        <v>5</v>
      </c>
    </row>
    <row r="25" spans="1:4" x14ac:dyDescent="0.3">
      <c r="A25" t="s">
        <v>4</v>
      </c>
      <c r="B25">
        <v>4450</v>
      </c>
      <c r="C25">
        <v>2023</v>
      </c>
      <c r="D25" t="s">
        <v>5</v>
      </c>
    </row>
    <row r="26" spans="1:4" x14ac:dyDescent="0.3">
      <c r="A26" t="s">
        <v>4</v>
      </c>
      <c r="B26">
        <v>3466</v>
      </c>
      <c r="C26">
        <v>2024</v>
      </c>
      <c r="D26" t="s">
        <v>5</v>
      </c>
    </row>
    <row r="27" spans="1:4" x14ac:dyDescent="0.3">
      <c r="A27" t="s">
        <v>6</v>
      </c>
      <c r="B27">
        <v>22578</v>
      </c>
      <c r="C27">
        <v>2000</v>
      </c>
      <c r="D27" t="s">
        <v>5</v>
      </c>
    </row>
    <row r="28" spans="1:4" x14ac:dyDescent="0.3">
      <c r="A28" t="s">
        <v>6</v>
      </c>
      <c r="B28">
        <v>24632</v>
      </c>
      <c r="C28">
        <v>2001</v>
      </c>
      <c r="D28" t="s">
        <v>5</v>
      </c>
    </row>
    <row r="29" spans="1:4" x14ac:dyDescent="0.3">
      <c r="A29" t="s">
        <v>6</v>
      </c>
      <c r="B29">
        <v>28593</v>
      </c>
      <c r="C29">
        <v>2002</v>
      </c>
      <c r="D29" t="s">
        <v>5</v>
      </c>
    </row>
    <row r="30" spans="1:4" x14ac:dyDescent="0.3">
      <c r="A30" t="s">
        <v>6</v>
      </c>
      <c r="B30">
        <v>24002</v>
      </c>
      <c r="C30">
        <v>2003</v>
      </c>
      <c r="D30" t="s">
        <v>5</v>
      </c>
    </row>
    <row r="31" spans="1:4" x14ac:dyDescent="0.3">
      <c r="A31" t="s">
        <v>6</v>
      </c>
      <c r="B31">
        <v>23839</v>
      </c>
      <c r="C31">
        <v>2004</v>
      </c>
      <c r="D31" t="s">
        <v>5</v>
      </c>
    </row>
    <row r="32" spans="1:4" x14ac:dyDescent="0.3">
      <c r="A32" t="s">
        <v>6</v>
      </c>
      <c r="B32">
        <v>24420</v>
      </c>
      <c r="C32">
        <v>2005</v>
      </c>
      <c r="D32" t="s">
        <v>5</v>
      </c>
    </row>
    <row r="33" spans="1:4" x14ac:dyDescent="0.3">
      <c r="A33" t="s">
        <v>6</v>
      </c>
      <c r="B33">
        <v>23829</v>
      </c>
      <c r="C33">
        <v>2006</v>
      </c>
      <c r="D33" t="s">
        <v>5</v>
      </c>
    </row>
    <row r="34" spans="1:4" x14ac:dyDescent="0.3">
      <c r="A34" t="s">
        <v>6</v>
      </c>
      <c r="B34">
        <v>18508</v>
      </c>
      <c r="C34">
        <v>2007</v>
      </c>
      <c r="D34" t="s">
        <v>5</v>
      </c>
    </row>
    <row r="35" spans="1:4" x14ac:dyDescent="0.3">
      <c r="A35" t="s">
        <v>6</v>
      </c>
      <c r="B35">
        <v>18002</v>
      </c>
      <c r="C35">
        <v>2008</v>
      </c>
      <c r="D35" t="s">
        <v>5</v>
      </c>
    </row>
    <row r="36" spans="1:4" x14ac:dyDescent="0.3">
      <c r="A36" t="s">
        <v>6</v>
      </c>
      <c r="B36">
        <v>19242</v>
      </c>
      <c r="C36">
        <v>2009</v>
      </c>
      <c r="D36" t="s">
        <v>5</v>
      </c>
    </row>
    <row r="37" spans="1:4" x14ac:dyDescent="0.3">
      <c r="A37" t="s">
        <v>6</v>
      </c>
      <c r="B37">
        <v>16562</v>
      </c>
      <c r="C37">
        <v>2010</v>
      </c>
      <c r="D37" t="s">
        <v>5</v>
      </c>
    </row>
    <row r="38" spans="1:4" x14ac:dyDescent="0.3">
      <c r="A38" t="s">
        <v>6</v>
      </c>
      <c r="B38">
        <v>14692</v>
      </c>
      <c r="C38">
        <v>2011</v>
      </c>
      <c r="D38" t="s">
        <v>5</v>
      </c>
    </row>
    <row r="39" spans="1:4" x14ac:dyDescent="0.3">
      <c r="A39" t="s">
        <v>6</v>
      </c>
      <c r="B39">
        <v>15321</v>
      </c>
      <c r="C39">
        <v>2012</v>
      </c>
      <c r="D39" t="s">
        <v>5</v>
      </c>
    </row>
    <row r="40" spans="1:4" x14ac:dyDescent="0.3">
      <c r="A40" t="s">
        <v>6</v>
      </c>
      <c r="B40">
        <v>13763</v>
      </c>
      <c r="C40">
        <v>2013</v>
      </c>
      <c r="D40" t="s">
        <v>5</v>
      </c>
    </row>
    <row r="41" spans="1:4" x14ac:dyDescent="0.3">
      <c r="A41" t="s">
        <v>6</v>
      </c>
      <c r="B41">
        <v>14121</v>
      </c>
      <c r="C41">
        <v>2014</v>
      </c>
      <c r="D41" t="s">
        <v>5</v>
      </c>
    </row>
    <row r="42" spans="1:4" x14ac:dyDescent="0.3">
      <c r="A42" t="s">
        <v>6</v>
      </c>
      <c r="B42">
        <v>17241</v>
      </c>
      <c r="C42">
        <v>2015</v>
      </c>
      <c r="D42" t="s">
        <v>5</v>
      </c>
    </row>
    <row r="43" spans="1:4" x14ac:dyDescent="0.3">
      <c r="A43" t="s">
        <v>6</v>
      </c>
      <c r="B43">
        <v>16921</v>
      </c>
      <c r="C43">
        <v>2016</v>
      </c>
      <c r="D43" t="s">
        <v>5</v>
      </c>
    </row>
    <row r="44" spans="1:4" x14ac:dyDescent="0.3">
      <c r="A44" t="s">
        <v>6</v>
      </c>
      <c r="B44">
        <v>15766</v>
      </c>
      <c r="C44">
        <v>2017</v>
      </c>
      <c r="D44" t="s">
        <v>5</v>
      </c>
    </row>
    <row r="45" spans="1:4" x14ac:dyDescent="0.3">
      <c r="A45" t="s">
        <v>6</v>
      </c>
      <c r="B45">
        <v>14498</v>
      </c>
      <c r="C45">
        <v>2018</v>
      </c>
      <c r="D45" t="s">
        <v>5</v>
      </c>
    </row>
    <row r="46" spans="1:4" x14ac:dyDescent="0.3">
      <c r="A46" t="s">
        <v>6</v>
      </c>
      <c r="B46">
        <v>12883</v>
      </c>
      <c r="C46">
        <v>2019</v>
      </c>
      <c r="D46" t="s">
        <v>5</v>
      </c>
    </row>
    <row r="47" spans="1:4" x14ac:dyDescent="0.3">
      <c r="A47" t="s">
        <v>6</v>
      </c>
      <c r="B47">
        <v>10704</v>
      </c>
      <c r="C47">
        <v>2020</v>
      </c>
      <c r="D47" t="s">
        <v>5</v>
      </c>
    </row>
    <row r="48" spans="1:4" x14ac:dyDescent="0.3">
      <c r="A48" t="s">
        <v>6</v>
      </c>
      <c r="B48">
        <v>10044</v>
      </c>
      <c r="C48">
        <v>2021</v>
      </c>
      <c r="D48" t="s">
        <v>5</v>
      </c>
    </row>
    <row r="49" spans="1:4" x14ac:dyDescent="0.3">
      <c r="A49" t="s">
        <v>6</v>
      </c>
      <c r="B49">
        <v>10590</v>
      </c>
      <c r="C49">
        <v>2022</v>
      </c>
      <c r="D49" t="s">
        <v>5</v>
      </c>
    </row>
    <row r="50" spans="1:4" x14ac:dyDescent="0.3">
      <c r="A50" t="s">
        <v>6</v>
      </c>
      <c r="B50">
        <v>9288</v>
      </c>
      <c r="C50">
        <v>2023</v>
      </c>
      <c r="D50" t="s">
        <v>5</v>
      </c>
    </row>
    <row r="51" spans="1:4" x14ac:dyDescent="0.3">
      <c r="A51" t="s">
        <v>6</v>
      </c>
      <c r="B51">
        <v>9123</v>
      </c>
      <c r="C51">
        <v>2024</v>
      </c>
      <c r="D51" t="s">
        <v>5</v>
      </c>
    </row>
    <row r="52" spans="1:4" x14ac:dyDescent="0.3">
      <c r="A52" t="s">
        <v>7</v>
      </c>
      <c r="B52">
        <v>20178</v>
      </c>
      <c r="C52">
        <v>2000</v>
      </c>
      <c r="D52" t="s">
        <v>5</v>
      </c>
    </row>
    <row r="53" spans="1:4" x14ac:dyDescent="0.3">
      <c r="A53" t="s">
        <v>7</v>
      </c>
      <c r="B53">
        <v>23358</v>
      </c>
      <c r="C53">
        <v>2001</v>
      </c>
      <c r="D53" t="s">
        <v>5</v>
      </c>
    </row>
    <row r="54" spans="1:4" x14ac:dyDescent="0.3">
      <c r="A54" t="s">
        <v>7</v>
      </c>
      <c r="B54">
        <v>32386</v>
      </c>
      <c r="C54">
        <v>2002</v>
      </c>
      <c r="D54" t="s">
        <v>5</v>
      </c>
    </row>
    <row r="55" spans="1:4" x14ac:dyDescent="0.3">
      <c r="A55" t="s">
        <v>7</v>
      </c>
      <c r="B55">
        <v>39368</v>
      </c>
      <c r="C55">
        <v>2003</v>
      </c>
      <c r="D55" t="s">
        <v>5</v>
      </c>
    </row>
    <row r="56" spans="1:4" x14ac:dyDescent="0.3">
      <c r="A56" t="s">
        <v>7</v>
      </c>
      <c r="B56">
        <v>55460</v>
      </c>
      <c r="C56">
        <v>2004</v>
      </c>
      <c r="D56" t="s">
        <v>5</v>
      </c>
    </row>
    <row r="57" spans="1:4" x14ac:dyDescent="0.3">
      <c r="A57" t="s">
        <v>7</v>
      </c>
      <c r="B57">
        <v>79011</v>
      </c>
      <c r="C57">
        <v>2005</v>
      </c>
      <c r="D57" t="s">
        <v>5</v>
      </c>
    </row>
    <row r="58" spans="1:4" x14ac:dyDescent="0.3">
      <c r="A58" t="s">
        <v>7</v>
      </c>
      <c r="B58">
        <v>90570</v>
      </c>
      <c r="C58">
        <v>2006</v>
      </c>
      <c r="D58" t="s">
        <v>5</v>
      </c>
    </row>
    <row r="59" spans="1:4" x14ac:dyDescent="0.3">
      <c r="A59" t="s">
        <v>7</v>
      </c>
      <c r="B59">
        <v>94799</v>
      </c>
      <c r="C59">
        <v>2007</v>
      </c>
      <c r="D59" t="s">
        <v>5</v>
      </c>
    </row>
    <row r="60" spans="1:4" x14ac:dyDescent="0.3">
      <c r="A60" t="s">
        <v>7</v>
      </c>
      <c r="B60">
        <v>120798</v>
      </c>
      <c r="C60">
        <v>2008</v>
      </c>
      <c r="D60" t="s">
        <v>5</v>
      </c>
    </row>
    <row r="61" spans="1:4" x14ac:dyDescent="0.3">
      <c r="A61" t="s">
        <v>7</v>
      </c>
      <c r="B61">
        <v>107746</v>
      </c>
      <c r="C61">
        <v>2009</v>
      </c>
      <c r="D61" t="s">
        <v>5</v>
      </c>
    </row>
    <row r="62" spans="1:4" x14ac:dyDescent="0.3">
      <c r="A62" t="s">
        <v>7</v>
      </c>
      <c r="B62">
        <v>94851</v>
      </c>
      <c r="C62">
        <v>2010</v>
      </c>
      <c r="D62" t="s">
        <v>5</v>
      </c>
    </row>
    <row r="63" spans="1:4" x14ac:dyDescent="0.3">
      <c r="A63" t="s">
        <v>7</v>
      </c>
      <c r="B63">
        <v>85508</v>
      </c>
      <c r="C63">
        <v>2011</v>
      </c>
      <c r="D63" t="s">
        <v>5</v>
      </c>
    </row>
    <row r="64" spans="1:4" x14ac:dyDescent="0.3">
      <c r="A64" t="s">
        <v>7</v>
      </c>
      <c r="B64">
        <v>73308</v>
      </c>
      <c r="C64">
        <v>2012</v>
      </c>
      <c r="D64" t="s">
        <v>5</v>
      </c>
    </row>
    <row r="65" spans="1:4" x14ac:dyDescent="0.3">
      <c r="A65" t="s">
        <v>7</v>
      </c>
      <c r="B65">
        <v>57536</v>
      </c>
      <c r="C65">
        <v>2013</v>
      </c>
      <c r="D65" t="s">
        <v>5</v>
      </c>
    </row>
    <row r="66" spans="1:4" x14ac:dyDescent="0.3">
      <c r="A66" t="s">
        <v>7</v>
      </c>
      <c r="B66">
        <v>47273</v>
      </c>
      <c r="C66">
        <v>2014</v>
      </c>
      <c r="D66" t="s">
        <v>5</v>
      </c>
    </row>
    <row r="67" spans="1:4" x14ac:dyDescent="0.3">
      <c r="A67" t="s">
        <v>7</v>
      </c>
      <c r="B67">
        <v>52498</v>
      </c>
      <c r="C67">
        <v>2015</v>
      </c>
      <c r="D67" t="s">
        <v>5</v>
      </c>
    </row>
    <row r="68" spans="1:4" x14ac:dyDescent="0.3">
      <c r="A68" t="s">
        <v>7</v>
      </c>
      <c r="B68">
        <v>52820</v>
      </c>
      <c r="C68">
        <v>2016</v>
      </c>
      <c r="D68" t="s">
        <v>5</v>
      </c>
    </row>
    <row r="69" spans="1:4" x14ac:dyDescent="0.3">
      <c r="A69" t="s">
        <v>7</v>
      </c>
      <c r="B69">
        <v>64037</v>
      </c>
      <c r="C69">
        <v>2017</v>
      </c>
      <c r="D69" t="s">
        <v>5</v>
      </c>
    </row>
    <row r="70" spans="1:4" x14ac:dyDescent="0.3">
      <c r="A70" t="s">
        <v>7</v>
      </c>
      <c r="B70">
        <v>58004</v>
      </c>
      <c r="C70">
        <v>2018</v>
      </c>
      <c r="D70" t="s">
        <v>5</v>
      </c>
    </row>
    <row r="71" spans="1:4" x14ac:dyDescent="0.3">
      <c r="A71" t="s">
        <v>7</v>
      </c>
      <c r="B71">
        <v>83703</v>
      </c>
      <c r="C71">
        <v>2019</v>
      </c>
      <c r="D71" t="s">
        <v>5</v>
      </c>
    </row>
    <row r="72" spans="1:4" x14ac:dyDescent="0.3">
      <c r="A72" t="s">
        <v>7</v>
      </c>
      <c r="B72">
        <v>69739</v>
      </c>
      <c r="C72">
        <v>2020</v>
      </c>
      <c r="D72" t="s">
        <v>5</v>
      </c>
    </row>
    <row r="73" spans="1:4" x14ac:dyDescent="0.3">
      <c r="A73" t="s">
        <v>7</v>
      </c>
      <c r="B73">
        <v>71502</v>
      </c>
      <c r="C73">
        <v>2021</v>
      </c>
      <c r="D73" t="s">
        <v>5</v>
      </c>
    </row>
    <row r="74" spans="1:4" x14ac:dyDescent="0.3">
      <c r="A74" t="s">
        <v>7</v>
      </c>
      <c r="B74">
        <v>85975</v>
      </c>
      <c r="C74">
        <v>2022</v>
      </c>
      <c r="D74" t="s">
        <v>5</v>
      </c>
    </row>
    <row r="75" spans="1:4" x14ac:dyDescent="0.3">
      <c r="A75" t="s">
        <v>7</v>
      </c>
      <c r="B75">
        <v>64272</v>
      </c>
      <c r="C75">
        <v>2023</v>
      </c>
      <c r="D75" t="s">
        <v>5</v>
      </c>
    </row>
    <row r="76" spans="1:4" x14ac:dyDescent="0.3">
      <c r="A76" t="s">
        <v>7</v>
      </c>
      <c r="B76">
        <v>52329</v>
      </c>
      <c r="C76">
        <v>2024</v>
      </c>
      <c r="D76" t="s">
        <v>5</v>
      </c>
    </row>
    <row r="77" spans="1:4" x14ac:dyDescent="0.3">
      <c r="A77" t="s">
        <v>8</v>
      </c>
      <c r="B77">
        <v>62206</v>
      </c>
      <c r="C77">
        <v>2000</v>
      </c>
      <c r="D77" t="s">
        <v>5</v>
      </c>
    </row>
    <row r="78" spans="1:4" x14ac:dyDescent="0.3">
      <c r="A78" t="s">
        <v>8</v>
      </c>
      <c r="B78">
        <v>63708</v>
      </c>
      <c r="C78">
        <v>2001</v>
      </c>
      <c r="D78" t="s">
        <v>5</v>
      </c>
    </row>
    <row r="79" spans="1:4" x14ac:dyDescent="0.3">
      <c r="A79" t="s">
        <v>8</v>
      </c>
      <c r="B79">
        <v>63016</v>
      </c>
      <c r="C79">
        <v>2002</v>
      </c>
      <c r="D79" t="s">
        <v>5</v>
      </c>
    </row>
    <row r="80" spans="1:4" x14ac:dyDescent="0.3">
      <c r="A80" t="s">
        <v>8</v>
      </c>
      <c r="B80">
        <v>61875</v>
      </c>
      <c r="C80">
        <v>2003</v>
      </c>
      <c r="D80" t="s">
        <v>5</v>
      </c>
    </row>
    <row r="81" spans="1:4" x14ac:dyDescent="0.3">
      <c r="A81" t="s">
        <v>8</v>
      </c>
      <c r="B81">
        <v>63606</v>
      </c>
      <c r="C81">
        <v>2004</v>
      </c>
      <c r="D81" t="s">
        <v>5</v>
      </c>
    </row>
    <row r="82" spans="1:4" x14ac:dyDescent="0.3">
      <c r="A82" t="s">
        <v>8</v>
      </c>
      <c r="B82">
        <v>57539</v>
      </c>
      <c r="C82">
        <v>2005</v>
      </c>
      <c r="D82" t="s">
        <v>5</v>
      </c>
    </row>
    <row r="83" spans="1:4" x14ac:dyDescent="0.3">
      <c r="A83" t="s">
        <v>8</v>
      </c>
      <c r="B83">
        <v>60126</v>
      </c>
      <c r="C83">
        <v>2006</v>
      </c>
      <c r="D83" t="s">
        <v>5</v>
      </c>
    </row>
    <row r="84" spans="1:4" x14ac:dyDescent="0.3">
      <c r="A84" t="s">
        <v>8</v>
      </c>
      <c r="B84">
        <v>55103</v>
      </c>
      <c r="C84">
        <v>2007</v>
      </c>
      <c r="D84" t="s">
        <v>5</v>
      </c>
    </row>
    <row r="85" spans="1:4" x14ac:dyDescent="0.3">
      <c r="A85" t="s">
        <v>8</v>
      </c>
      <c r="B85">
        <v>58973</v>
      </c>
      <c r="C85">
        <v>2008</v>
      </c>
      <c r="D85" t="s">
        <v>5</v>
      </c>
    </row>
    <row r="86" spans="1:4" x14ac:dyDescent="0.3">
      <c r="A86" t="s">
        <v>8</v>
      </c>
      <c r="B86">
        <v>52761</v>
      </c>
      <c r="C86">
        <v>2009</v>
      </c>
      <c r="D86" t="s">
        <v>5</v>
      </c>
    </row>
    <row r="87" spans="1:4" x14ac:dyDescent="0.3">
      <c r="A87" t="s">
        <v>8</v>
      </c>
      <c r="B87">
        <v>61990</v>
      </c>
      <c r="C87">
        <v>2010</v>
      </c>
      <c r="D87" t="s">
        <v>5</v>
      </c>
    </row>
    <row r="88" spans="1:4" x14ac:dyDescent="0.3">
      <c r="A88" t="s">
        <v>8</v>
      </c>
      <c r="B88">
        <v>57718</v>
      </c>
      <c r="C88">
        <v>2011</v>
      </c>
      <c r="D88" t="s">
        <v>5</v>
      </c>
    </row>
    <row r="89" spans="1:4" x14ac:dyDescent="0.3">
      <c r="A89" t="s">
        <v>8</v>
      </c>
      <c r="B89">
        <v>61470</v>
      </c>
      <c r="C89">
        <v>2012</v>
      </c>
      <c r="D89" t="s">
        <v>5</v>
      </c>
    </row>
    <row r="90" spans="1:4" x14ac:dyDescent="0.3">
      <c r="A90" t="s">
        <v>8</v>
      </c>
      <c r="B90">
        <v>56726</v>
      </c>
      <c r="C90">
        <v>2013</v>
      </c>
      <c r="D90" t="s">
        <v>5</v>
      </c>
    </row>
    <row r="91" spans="1:4" x14ac:dyDescent="0.3">
      <c r="A91" t="s">
        <v>8</v>
      </c>
      <c r="B91">
        <v>57305</v>
      </c>
      <c r="C91">
        <v>2014</v>
      </c>
      <c r="D91" t="s">
        <v>5</v>
      </c>
    </row>
    <row r="92" spans="1:4" x14ac:dyDescent="0.3">
      <c r="A92" t="s">
        <v>8</v>
      </c>
      <c r="B92">
        <v>57196</v>
      </c>
      <c r="C92">
        <v>2015</v>
      </c>
      <c r="D92" t="s">
        <v>5</v>
      </c>
    </row>
    <row r="93" spans="1:4" x14ac:dyDescent="0.3">
      <c r="A93" t="s">
        <v>8</v>
      </c>
      <c r="B93">
        <v>58633</v>
      </c>
      <c r="C93">
        <v>2016</v>
      </c>
      <c r="D93" t="s">
        <v>5</v>
      </c>
    </row>
    <row r="94" spans="1:4" x14ac:dyDescent="0.3">
      <c r="A94" t="s">
        <v>8</v>
      </c>
      <c r="B94">
        <v>58039</v>
      </c>
      <c r="C94">
        <v>2017</v>
      </c>
      <c r="D94" t="s">
        <v>5</v>
      </c>
    </row>
    <row r="95" spans="1:4" x14ac:dyDescent="0.3">
      <c r="A95" t="s">
        <v>8</v>
      </c>
      <c r="B95">
        <v>55766</v>
      </c>
      <c r="C95">
        <v>2018</v>
      </c>
      <c r="D95" t="s">
        <v>5</v>
      </c>
    </row>
    <row r="96" spans="1:4" x14ac:dyDescent="0.3">
      <c r="A96" t="s">
        <v>8</v>
      </c>
      <c r="B96">
        <v>58349</v>
      </c>
      <c r="C96">
        <v>2019</v>
      </c>
      <c r="D96" t="s">
        <v>5</v>
      </c>
    </row>
    <row r="97" spans="1:4" x14ac:dyDescent="0.3">
      <c r="A97" t="s">
        <v>8</v>
      </c>
      <c r="B97">
        <v>58299</v>
      </c>
      <c r="C97">
        <v>2020</v>
      </c>
      <c r="D97" t="s">
        <v>5</v>
      </c>
    </row>
    <row r="98" spans="1:4" x14ac:dyDescent="0.3">
      <c r="A98" t="s">
        <v>8</v>
      </c>
      <c r="B98">
        <v>56564</v>
      </c>
      <c r="C98">
        <v>2021</v>
      </c>
      <c r="D98" t="s">
        <v>5</v>
      </c>
    </row>
    <row r="99" spans="1:4" x14ac:dyDescent="0.3">
      <c r="A99" t="s">
        <v>8</v>
      </c>
      <c r="B99">
        <v>58590</v>
      </c>
      <c r="C99">
        <v>2022</v>
      </c>
      <c r="D99" t="s">
        <v>5</v>
      </c>
    </row>
    <row r="100" spans="1:4" x14ac:dyDescent="0.3">
      <c r="A100" t="s">
        <v>8</v>
      </c>
      <c r="B100">
        <v>56873</v>
      </c>
      <c r="C100">
        <v>2023</v>
      </c>
      <c r="D100" t="s">
        <v>5</v>
      </c>
    </row>
    <row r="101" spans="1:4" x14ac:dyDescent="0.3">
      <c r="A101" t="s">
        <v>8</v>
      </c>
      <c r="B101">
        <v>54532</v>
      </c>
      <c r="C101">
        <v>2024</v>
      </c>
      <c r="D101" t="s">
        <v>5</v>
      </c>
    </row>
    <row r="102" spans="1:4" x14ac:dyDescent="0.3">
      <c r="A102" t="s">
        <v>9</v>
      </c>
      <c r="B102">
        <v>31807</v>
      </c>
      <c r="C102">
        <v>2000</v>
      </c>
      <c r="D102" t="s">
        <v>5</v>
      </c>
    </row>
    <row r="103" spans="1:4" x14ac:dyDescent="0.3">
      <c r="A103" t="s">
        <v>9</v>
      </c>
      <c r="B103">
        <v>43864</v>
      </c>
      <c r="C103">
        <v>2001</v>
      </c>
      <c r="D103" t="s">
        <v>5</v>
      </c>
    </row>
    <row r="104" spans="1:4" x14ac:dyDescent="0.3">
      <c r="A104" t="s">
        <v>9</v>
      </c>
      <c r="B104">
        <v>26270</v>
      </c>
      <c r="C104">
        <v>2002</v>
      </c>
      <c r="D104" t="s">
        <v>5</v>
      </c>
    </row>
    <row r="105" spans="1:4" x14ac:dyDescent="0.3">
      <c r="A105" t="s">
        <v>9</v>
      </c>
      <c r="B105">
        <v>43897</v>
      </c>
      <c r="C105">
        <v>2003</v>
      </c>
      <c r="D105" t="s">
        <v>5</v>
      </c>
    </row>
    <row r="106" spans="1:4" x14ac:dyDescent="0.3">
      <c r="A106" t="s">
        <v>9</v>
      </c>
      <c r="B106">
        <v>34439</v>
      </c>
      <c r="C106">
        <v>2004</v>
      </c>
      <c r="D106" t="s">
        <v>5</v>
      </c>
    </row>
    <row r="107" spans="1:4" x14ac:dyDescent="0.3">
      <c r="A107" t="s">
        <v>9</v>
      </c>
      <c r="B107">
        <v>23025</v>
      </c>
      <c r="C107">
        <v>2005</v>
      </c>
      <c r="D107" t="s">
        <v>5</v>
      </c>
    </row>
    <row r="108" spans="1:4" x14ac:dyDescent="0.3">
      <c r="A108" t="s">
        <v>9</v>
      </c>
      <c r="B108">
        <v>29831</v>
      </c>
      <c r="C108">
        <v>2006</v>
      </c>
      <c r="D108" t="s">
        <v>5</v>
      </c>
    </row>
    <row r="109" spans="1:4" x14ac:dyDescent="0.3">
      <c r="A109" t="s">
        <v>9</v>
      </c>
      <c r="B109">
        <v>30522</v>
      </c>
      <c r="C109">
        <v>2007</v>
      </c>
      <c r="D109" t="s">
        <v>5</v>
      </c>
    </row>
    <row r="110" spans="1:4" x14ac:dyDescent="0.3">
      <c r="A110" t="s">
        <v>9</v>
      </c>
      <c r="B110">
        <v>26144</v>
      </c>
      <c r="C110">
        <v>2008</v>
      </c>
      <c r="D110" t="s">
        <v>5</v>
      </c>
    </row>
    <row r="111" spans="1:4" x14ac:dyDescent="0.3">
      <c r="A111" t="s">
        <v>9</v>
      </c>
      <c r="B111">
        <v>29162</v>
      </c>
      <c r="C111">
        <v>2009</v>
      </c>
      <c r="D111" t="s">
        <v>5</v>
      </c>
    </row>
    <row r="112" spans="1:4" x14ac:dyDescent="0.3">
      <c r="A112" t="s">
        <v>9</v>
      </c>
      <c r="B112">
        <v>45511</v>
      </c>
      <c r="C112">
        <v>2010</v>
      </c>
      <c r="D112" t="s">
        <v>5</v>
      </c>
    </row>
    <row r="113" spans="1:4" x14ac:dyDescent="0.3">
      <c r="A113" t="s">
        <v>9</v>
      </c>
      <c r="B113">
        <v>32911</v>
      </c>
      <c r="C113">
        <v>2011</v>
      </c>
      <c r="D113" t="s">
        <v>5</v>
      </c>
    </row>
    <row r="114" spans="1:4" x14ac:dyDescent="0.3">
      <c r="A114" t="s">
        <v>9</v>
      </c>
      <c r="B114">
        <v>24162</v>
      </c>
      <c r="C114">
        <v>2012</v>
      </c>
      <c r="D114" t="s">
        <v>5</v>
      </c>
    </row>
    <row r="115" spans="1:4" x14ac:dyDescent="0.3">
      <c r="A115" t="s">
        <v>9</v>
      </c>
      <c r="B115">
        <v>41052</v>
      </c>
      <c r="C115">
        <v>2013</v>
      </c>
      <c r="D115" t="s">
        <v>5</v>
      </c>
    </row>
    <row r="116" spans="1:4" x14ac:dyDescent="0.3">
      <c r="A116" t="s">
        <v>9</v>
      </c>
      <c r="B116">
        <v>42969</v>
      </c>
      <c r="C116">
        <v>2014</v>
      </c>
      <c r="D116" t="s">
        <v>5</v>
      </c>
    </row>
    <row r="117" spans="1:4" x14ac:dyDescent="0.3">
      <c r="A117" t="s">
        <v>9</v>
      </c>
      <c r="B117">
        <v>31368</v>
      </c>
      <c r="C117">
        <v>2015</v>
      </c>
      <c r="D117" t="s">
        <v>5</v>
      </c>
    </row>
    <row r="118" spans="1:4" x14ac:dyDescent="0.3">
      <c r="A118" t="s">
        <v>9</v>
      </c>
      <c r="B118">
        <v>39865</v>
      </c>
      <c r="C118">
        <v>2016</v>
      </c>
      <c r="D118" t="s">
        <v>5</v>
      </c>
    </row>
    <row r="119" spans="1:4" x14ac:dyDescent="0.3">
      <c r="A119" t="s">
        <v>9</v>
      </c>
      <c r="B119">
        <v>21070</v>
      </c>
      <c r="C119">
        <v>2017</v>
      </c>
      <c r="D119" t="s">
        <v>5</v>
      </c>
    </row>
    <row r="120" spans="1:4" x14ac:dyDescent="0.3">
      <c r="A120" t="s">
        <v>9</v>
      </c>
      <c r="B120">
        <v>36803</v>
      </c>
      <c r="C120">
        <v>2018</v>
      </c>
      <c r="D120" t="s">
        <v>5</v>
      </c>
    </row>
    <row r="121" spans="1:4" x14ac:dyDescent="0.3">
      <c r="A121" t="s">
        <v>9</v>
      </c>
      <c r="B121">
        <v>26874</v>
      </c>
      <c r="C121">
        <v>2019</v>
      </c>
      <c r="D121" t="s">
        <v>5</v>
      </c>
    </row>
    <row r="122" spans="1:4" x14ac:dyDescent="0.3">
      <c r="A122" t="s">
        <v>9</v>
      </c>
      <c r="B122">
        <v>33998</v>
      </c>
      <c r="C122">
        <v>2020</v>
      </c>
      <c r="D122" t="s">
        <v>5</v>
      </c>
    </row>
    <row r="123" spans="1:4" x14ac:dyDescent="0.3">
      <c r="A123" t="s">
        <v>9</v>
      </c>
      <c r="B123">
        <v>32847</v>
      </c>
      <c r="C123">
        <v>2021</v>
      </c>
      <c r="D123" t="s">
        <v>5</v>
      </c>
    </row>
    <row r="124" spans="1:4" x14ac:dyDescent="0.3">
      <c r="A124" t="s">
        <v>9</v>
      </c>
      <c r="B124">
        <v>22102</v>
      </c>
      <c r="C124">
        <v>2022</v>
      </c>
      <c r="D124" t="s">
        <v>5</v>
      </c>
    </row>
    <row r="125" spans="1:4" x14ac:dyDescent="0.3">
      <c r="A125" t="s">
        <v>9</v>
      </c>
      <c r="B125">
        <v>31105</v>
      </c>
      <c r="C125">
        <v>2023</v>
      </c>
      <c r="D125" t="s">
        <v>5</v>
      </c>
    </row>
    <row r="126" spans="1:4" x14ac:dyDescent="0.3">
      <c r="A126" t="s">
        <v>9</v>
      </c>
      <c r="B126">
        <v>40821</v>
      </c>
      <c r="C126">
        <v>2024</v>
      </c>
      <c r="D126" t="s">
        <v>5</v>
      </c>
    </row>
    <row r="127" spans="1:4" x14ac:dyDescent="0.3">
      <c r="A127" t="s">
        <v>10</v>
      </c>
      <c r="C127">
        <v>2000</v>
      </c>
      <c r="D127" t="s">
        <v>5</v>
      </c>
    </row>
    <row r="128" spans="1:4" x14ac:dyDescent="0.3">
      <c r="A128" t="s">
        <v>10</v>
      </c>
      <c r="C128">
        <v>2001</v>
      </c>
      <c r="D128" t="s">
        <v>5</v>
      </c>
    </row>
    <row r="129" spans="1:4" x14ac:dyDescent="0.3">
      <c r="A129" t="s">
        <v>10</v>
      </c>
      <c r="C129">
        <v>2002</v>
      </c>
      <c r="D129" t="s">
        <v>5</v>
      </c>
    </row>
    <row r="130" spans="1:4" x14ac:dyDescent="0.3">
      <c r="A130" t="s">
        <v>10</v>
      </c>
      <c r="C130">
        <v>2003</v>
      </c>
      <c r="D130" t="s">
        <v>5</v>
      </c>
    </row>
    <row r="131" spans="1:4" x14ac:dyDescent="0.3">
      <c r="A131" t="s">
        <v>10</v>
      </c>
      <c r="C131">
        <v>2004</v>
      </c>
      <c r="D131" t="s">
        <v>5</v>
      </c>
    </row>
    <row r="132" spans="1:4" x14ac:dyDescent="0.3">
      <c r="A132" t="s">
        <v>10</v>
      </c>
      <c r="C132">
        <v>2005</v>
      </c>
      <c r="D132" t="s">
        <v>5</v>
      </c>
    </row>
    <row r="133" spans="1:4" x14ac:dyDescent="0.3">
      <c r="A133" t="s">
        <v>10</v>
      </c>
      <c r="C133">
        <v>2006</v>
      </c>
      <c r="D133" t="s">
        <v>5</v>
      </c>
    </row>
    <row r="134" spans="1:4" x14ac:dyDescent="0.3">
      <c r="A134" t="s">
        <v>10</v>
      </c>
      <c r="C134">
        <v>2007</v>
      </c>
      <c r="D134" t="s">
        <v>5</v>
      </c>
    </row>
    <row r="135" spans="1:4" x14ac:dyDescent="0.3">
      <c r="A135" t="s">
        <v>10</v>
      </c>
      <c r="C135">
        <v>2008</v>
      </c>
      <c r="D135" t="s">
        <v>5</v>
      </c>
    </row>
    <row r="136" spans="1:4" x14ac:dyDescent="0.3">
      <c r="A136" t="s">
        <v>10</v>
      </c>
      <c r="C136">
        <v>2009</v>
      </c>
      <c r="D136" t="s">
        <v>5</v>
      </c>
    </row>
    <row r="137" spans="1:4" x14ac:dyDescent="0.3">
      <c r="A137" t="s">
        <v>10</v>
      </c>
      <c r="C137">
        <v>2010</v>
      </c>
      <c r="D137" t="s">
        <v>5</v>
      </c>
    </row>
    <row r="138" spans="1:4" x14ac:dyDescent="0.3">
      <c r="A138" t="s">
        <v>10</v>
      </c>
      <c r="C138">
        <v>2011</v>
      </c>
      <c r="D138" t="s">
        <v>5</v>
      </c>
    </row>
    <row r="139" spans="1:4" x14ac:dyDescent="0.3">
      <c r="A139" t="s">
        <v>10</v>
      </c>
      <c r="C139">
        <v>2012</v>
      </c>
      <c r="D139" t="s">
        <v>5</v>
      </c>
    </row>
    <row r="140" spans="1:4" x14ac:dyDescent="0.3">
      <c r="A140" t="s">
        <v>10</v>
      </c>
      <c r="C140">
        <v>2013</v>
      </c>
      <c r="D140" t="s">
        <v>5</v>
      </c>
    </row>
    <row r="141" spans="1:4" x14ac:dyDescent="0.3">
      <c r="A141" t="s">
        <v>10</v>
      </c>
      <c r="C141">
        <v>2014</v>
      </c>
      <c r="D141" t="s">
        <v>5</v>
      </c>
    </row>
    <row r="142" spans="1:4" x14ac:dyDescent="0.3">
      <c r="A142" t="s">
        <v>10</v>
      </c>
      <c r="C142">
        <v>2015</v>
      </c>
      <c r="D142" t="s">
        <v>5</v>
      </c>
    </row>
    <row r="143" spans="1:4" x14ac:dyDescent="0.3">
      <c r="A143" t="s">
        <v>10</v>
      </c>
      <c r="C143">
        <v>2016</v>
      </c>
      <c r="D143" t="s">
        <v>5</v>
      </c>
    </row>
    <row r="144" spans="1:4" x14ac:dyDescent="0.3">
      <c r="A144" t="s">
        <v>10</v>
      </c>
      <c r="C144">
        <v>2017</v>
      </c>
      <c r="D144" t="s">
        <v>5</v>
      </c>
    </row>
    <row r="145" spans="1:4" x14ac:dyDescent="0.3">
      <c r="A145" t="s">
        <v>10</v>
      </c>
      <c r="C145">
        <v>2018</v>
      </c>
      <c r="D145" t="s">
        <v>5</v>
      </c>
    </row>
    <row r="146" spans="1:4" x14ac:dyDescent="0.3">
      <c r="A146" t="s">
        <v>10</v>
      </c>
      <c r="B146">
        <v>20</v>
      </c>
      <c r="C146">
        <v>2019</v>
      </c>
      <c r="D146" t="s">
        <v>5</v>
      </c>
    </row>
    <row r="147" spans="1:4" x14ac:dyDescent="0.3">
      <c r="A147" t="s">
        <v>10</v>
      </c>
      <c r="B147">
        <v>27</v>
      </c>
      <c r="C147">
        <v>2020</v>
      </c>
      <c r="D147" t="s">
        <v>5</v>
      </c>
    </row>
    <row r="148" spans="1:4" x14ac:dyDescent="0.3">
      <c r="A148" t="s">
        <v>10</v>
      </c>
      <c r="B148">
        <v>19</v>
      </c>
      <c r="C148">
        <v>2021</v>
      </c>
      <c r="D148" t="s">
        <v>5</v>
      </c>
    </row>
    <row r="149" spans="1:4" x14ac:dyDescent="0.3">
      <c r="A149" t="s">
        <v>10</v>
      </c>
      <c r="B149">
        <v>23</v>
      </c>
      <c r="C149">
        <v>2022</v>
      </c>
      <c r="D149" t="s">
        <v>5</v>
      </c>
    </row>
    <row r="150" spans="1:4" x14ac:dyDescent="0.3">
      <c r="A150" t="s">
        <v>10</v>
      </c>
      <c r="B150">
        <v>12</v>
      </c>
      <c r="C150">
        <v>2023</v>
      </c>
      <c r="D150" t="s">
        <v>5</v>
      </c>
    </row>
    <row r="151" spans="1:4" x14ac:dyDescent="0.3">
      <c r="A151" t="s">
        <v>10</v>
      </c>
      <c r="B151">
        <v>8</v>
      </c>
      <c r="C151">
        <v>2024</v>
      </c>
      <c r="D151" t="s">
        <v>5</v>
      </c>
    </row>
    <row r="152" spans="1:4" x14ac:dyDescent="0.3">
      <c r="A152" t="s">
        <v>11</v>
      </c>
      <c r="B152">
        <v>1159</v>
      </c>
      <c r="C152">
        <v>2000</v>
      </c>
      <c r="D152" t="s">
        <v>5</v>
      </c>
    </row>
    <row r="153" spans="1:4" x14ac:dyDescent="0.3">
      <c r="A153" t="s">
        <v>11</v>
      </c>
      <c r="B153">
        <v>1297</v>
      </c>
      <c r="C153">
        <v>2001</v>
      </c>
      <c r="D153" t="s">
        <v>5</v>
      </c>
    </row>
    <row r="154" spans="1:4" x14ac:dyDescent="0.3">
      <c r="A154" t="s">
        <v>11</v>
      </c>
      <c r="B154">
        <v>2303</v>
      </c>
      <c r="C154">
        <v>2002</v>
      </c>
      <c r="D154" t="s">
        <v>5</v>
      </c>
    </row>
    <row r="155" spans="1:4" x14ac:dyDescent="0.3">
      <c r="A155" t="s">
        <v>11</v>
      </c>
      <c r="B155">
        <v>2853</v>
      </c>
      <c r="C155">
        <v>2003</v>
      </c>
      <c r="D155" t="s">
        <v>5</v>
      </c>
    </row>
    <row r="156" spans="1:4" x14ac:dyDescent="0.3">
      <c r="A156" t="s">
        <v>11</v>
      </c>
      <c r="B156">
        <v>3039</v>
      </c>
      <c r="C156">
        <v>2004</v>
      </c>
      <c r="D156" t="s">
        <v>5</v>
      </c>
    </row>
    <row r="157" spans="1:4" x14ac:dyDescent="0.3">
      <c r="A157" t="s">
        <v>11</v>
      </c>
      <c r="B157">
        <v>2202</v>
      </c>
      <c r="C157">
        <v>2005</v>
      </c>
      <c r="D157" t="s">
        <v>5</v>
      </c>
    </row>
    <row r="158" spans="1:4" x14ac:dyDescent="0.3">
      <c r="A158" t="s">
        <v>11</v>
      </c>
      <c r="B158">
        <v>2173</v>
      </c>
      <c r="C158">
        <v>2006</v>
      </c>
      <c r="D158" t="s">
        <v>5</v>
      </c>
    </row>
    <row r="159" spans="1:4" x14ac:dyDescent="0.3">
      <c r="A159" t="s">
        <v>11</v>
      </c>
      <c r="B159">
        <v>2161</v>
      </c>
      <c r="C159">
        <v>2007</v>
      </c>
      <c r="D159" t="s">
        <v>5</v>
      </c>
    </row>
    <row r="160" spans="1:4" x14ac:dyDescent="0.3">
      <c r="A160" t="s">
        <v>11</v>
      </c>
      <c r="B160">
        <v>2473</v>
      </c>
      <c r="C160">
        <v>2008</v>
      </c>
      <c r="D160" t="s">
        <v>5</v>
      </c>
    </row>
    <row r="161" spans="1:4" x14ac:dyDescent="0.3">
      <c r="A161" t="s">
        <v>11</v>
      </c>
      <c r="B161">
        <v>2727</v>
      </c>
      <c r="C161">
        <v>2009</v>
      </c>
      <c r="D161" t="s">
        <v>5</v>
      </c>
    </row>
    <row r="162" spans="1:4" x14ac:dyDescent="0.3">
      <c r="A162" t="s">
        <v>11</v>
      </c>
      <c r="B162">
        <v>3356</v>
      </c>
      <c r="C162">
        <v>2010</v>
      </c>
      <c r="D162" t="s">
        <v>5</v>
      </c>
    </row>
    <row r="163" spans="1:4" x14ac:dyDescent="0.3">
      <c r="A163" t="s">
        <v>11</v>
      </c>
      <c r="B163">
        <v>3814</v>
      </c>
      <c r="C163">
        <v>2011</v>
      </c>
      <c r="D163" t="s">
        <v>5</v>
      </c>
    </row>
    <row r="164" spans="1:4" x14ac:dyDescent="0.3">
      <c r="A164" t="s">
        <v>11</v>
      </c>
      <c r="B164">
        <v>4262</v>
      </c>
      <c r="C164">
        <v>2012</v>
      </c>
      <c r="D164" t="s">
        <v>5</v>
      </c>
    </row>
    <row r="165" spans="1:4" x14ac:dyDescent="0.3">
      <c r="A165" t="s">
        <v>11</v>
      </c>
      <c r="B165">
        <v>5116</v>
      </c>
      <c r="C165">
        <v>2013</v>
      </c>
      <c r="D165" t="s">
        <v>5</v>
      </c>
    </row>
    <row r="166" spans="1:4" x14ac:dyDescent="0.3">
      <c r="A166" t="s">
        <v>11</v>
      </c>
      <c r="B166">
        <v>4728</v>
      </c>
      <c r="C166">
        <v>2014</v>
      </c>
      <c r="D166" t="s">
        <v>5</v>
      </c>
    </row>
    <row r="167" spans="1:4" x14ac:dyDescent="0.3">
      <c r="A167" t="s">
        <v>11</v>
      </c>
      <c r="B167">
        <v>4996</v>
      </c>
      <c r="C167">
        <v>2015</v>
      </c>
      <c r="D167" t="s">
        <v>5</v>
      </c>
    </row>
    <row r="168" spans="1:4" x14ac:dyDescent="0.3">
      <c r="A168" t="s">
        <v>11</v>
      </c>
      <c r="B168">
        <v>4954</v>
      </c>
      <c r="C168">
        <v>2016</v>
      </c>
      <c r="D168" t="s">
        <v>5</v>
      </c>
    </row>
    <row r="169" spans="1:4" x14ac:dyDescent="0.3">
      <c r="A169" t="s">
        <v>11</v>
      </c>
      <c r="B169">
        <v>5306</v>
      </c>
      <c r="C169">
        <v>2017</v>
      </c>
      <c r="D169" t="s">
        <v>5</v>
      </c>
    </row>
    <row r="170" spans="1:4" x14ac:dyDescent="0.3">
      <c r="A170" t="s">
        <v>11</v>
      </c>
      <c r="B170">
        <v>5156</v>
      </c>
      <c r="C170">
        <v>2018</v>
      </c>
      <c r="D170" t="s">
        <v>5</v>
      </c>
    </row>
    <row r="171" spans="1:4" x14ac:dyDescent="0.3">
      <c r="A171" t="s">
        <v>11</v>
      </c>
      <c r="B171">
        <v>4802</v>
      </c>
      <c r="C171">
        <v>2019</v>
      </c>
      <c r="D171" t="s">
        <v>5</v>
      </c>
    </row>
    <row r="172" spans="1:4" x14ac:dyDescent="0.3">
      <c r="A172" t="s">
        <v>11</v>
      </c>
      <c r="B172">
        <v>5435</v>
      </c>
      <c r="C172">
        <v>2020</v>
      </c>
      <c r="D172" t="s">
        <v>5</v>
      </c>
    </row>
    <row r="173" spans="1:4" x14ac:dyDescent="0.3">
      <c r="A173" t="s">
        <v>11</v>
      </c>
      <c r="B173">
        <v>6088</v>
      </c>
      <c r="C173">
        <v>2021</v>
      </c>
      <c r="D173" t="s">
        <v>5</v>
      </c>
    </row>
    <row r="174" spans="1:4" x14ac:dyDescent="0.3">
      <c r="A174" t="s">
        <v>11</v>
      </c>
      <c r="B174">
        <v>5935</v>
      </c>
      <c r="C174">
        <v>2022</v>
      </c>
      <c r="D174" t="s">
        <v>5</v>
      </c>
    </row>
    <row r="175" spans="1:4" x14ac:dyDescent="0.3">
      <c r="A175" t="s">
        <v>11</v>
      </c>
      <c r="B175">
        <v>5062</v>
      </c>
      <c r="C175">
        <v>2023</v>
      </c>
      <c r="D175" t="s">
        <v>5</v>
      </c>
    </row>
    <row r="176" spans="1:4" x14ac:dyDescent="0.3">
      <c r="A176" t="s">
        <v>11</v>
      </c>
      <c r="B176">
        <v>5319</v>
      </c>
      <c r="C176">
        <v>2024</v>
      </c>
      <c r="D176" t="s">
        <v>5</v>
      </c>
    </row>
    <row r="177" spans="1:4" x14ac:dyDescent="0.3">
      <c r="A177" t="s">
        <v>12</v>
      </c>
      <c r="B177">
        <v>941</v>
      </c>
      <c r="C177">
        <v>2000</v>
      </c>
      <c r="D177" t="s">
        <v>5</v>
      </c>
    </row>
    <row r="178" spans="1:4" x14ac:dyDescent="0.3">
      <c r="A178" t="s">
        <v>12</v>
      </c>
      <c r="B178">
        <v>667</v>
      </c>
      <c r="C178">
        <v>2001</v>
      </c>
      <c r="D178" t="s">
        <v>5</v>
      </c>
    </row>
    <row r="179" spans="1:4" x14ac:dyDescent="0.3">
      <c r="A179" t="s">
        <v>12</v>
      </c>
      <c r="B179">
        <v>566</v>
      </c>
      <c r="C179">
        <v>2002</v>
      </c>
      <c r="D179" t="s">
        <v>5</v>
      </c>
    </row>
    <row r="180" spans="1:4" x14ac:dyDescent="0.3">
      <c r="A180" t="s">
        <v>12</v>
      </c>
      <c r="B180">
        <v>661</v>
      </c>
      <c r="C180">
        <v>2003</v>
      </c>
      <c r="D180" t="s">
        <v>5</v>
      </c>
    </row>
    <row r="181" spans="1:4" x14ac:dyDescent="0.3">
      <c r="A181" t="s">
        <v>12</v>
      </c>
      <c r="B181">
        <v>582</v>
      </c>
      <c r="C181">
        <v>2004</v>
      </c>
      <c r="D181" t="s">
        <v>5</v>
      </c>
    </row>
    <row r="182" spans="1:4" x14ac:dyDescent="0.3">
      <c r="A182" t="s">
        <v>12</v>
      </c>
      <c r="B182">
        <v>902</v>
      </c>
      <c r="C182">
        <v>2005</v>
      </c>
      <c r="D182" t="s">
        <v>5</v>
      </c>
    </row>
    <row r="183" spans="1:4" x14ac:dyDescent="0.3">
      <c r="A183" t="s">
        <v>12</v>
      </c>
      <c r="B183">
        <v>1202</v>
      </c>
      <c r="C183">
        <v>2006</v>
      </c>
      <c r="D183" t="s">
        <v>5</v>
      </c>
    </row>
    <row r="184" spans="1:4" x14ac:dyDescent="0.3">
      <c r="A184" t="s">
        <v>12</v>
      </c>
      <c r="B184">
        <v>1474</v>
      </c>
      <c r="C184">
        <v>2007</v>
      </c>
      <c r="D184" t="s">
        <v>5</v>
      </c>
    </row>
    <row r="185" spans="1:4" x14ac:dyDescent="0.3">
      <c r="A185" t="s">
        <v>12</v>
      </c>
      <c r="B185">
        <v>1564</v>
      </c>
      <c r="C185">
        <v>2008</v>
      </c>
      <c r="D185" t="s">
        <v>5</v>
      </c>
    </row>
    <row r="186" spans="1:4" x14ac:dyDescent="0.3">
      <c r="A186" t="s">
        <v>12</v>
      </c>
      <c r="B186">
        <v>1522</v>
      </c>
      <c r="C186">
        <v>2009</v>
      </c>
      <c r="D186" t="s">
        <v>5</v>
      </c>
    </row>
    <row r="187" spans="1:4" x14ac:dyDescent="0.3">
      <c r="A187" t="s">
        <v>12</v>
      </c>
      <c r="B187">
        <v>1318</v>
      </c>
      <c r="C187">
        <v>2010</v>
      </c>
      <c r="D187" t="s">
        <v>5</v>
      </c>
    </row>
    <row r="188" spans="1:4" x14ac:dyDescent="0.3">
      <c r="A188" t="s">
        <v>12</v>
      </c>
      <c r="B188">
        <v>1590</v>
      </c>
      <c r="C188">
        <v>2011</v>
      </c>
      <c r="D188" t="s">
        <v>5</v>
      </c>
    </row>
    <row r="189" spans="1:4" x14ac:dyDescent="0.3">
      <c r="A189" t="s">
        <v>12</v>
      </c>
      <c r="B189">
        <v>1430</v>
      </c>
      <c r="C189">
        <v>2012</v>
      </c>
      <c r="D189" t="s">
        <v>5</v>
      </c>
    </row>
    <row r="190" spans="1:4" x14ac:dyDescent="0.3">
      <c r="A190" t="s">
        <v>12</v>
      </c>
      <c r="B190">
        <v>1364</v>
      </c>
      <c r="C190">
        <v>2013</v>
      </c>
      <c r="D190" t="s">
        <v>5</v>
      </c>
    </row>
    <row r="191" spans="1:4" x14ac:dyDescent="0.3">
      <c r="A191" t="s">
        <v>12</v>
      </c>
      <c r="B191">
        <v>1372</v>
      </c>
      <c r="C191">
        <v>2014</v>
      </c>
      <c r="D191" t="s">
        <v>5</v>
      </c>
    </row>
    <row r="192" spans="1:4" x14ac:dyDescent="0.3">
      <c r="A192" t="s">
        <v>12</v>
      </c>
      <c r="B192">
        <v>1536</v>
      </c>
      <c r="C192">
        <v>2015</v>
      </c>
      <c r="D192" t="s">
        <v>5</v>
      </c>
    </row>
    <row r="193" spans="1:4" x14ac:dyDescent="0.3">
      <c r="A193" t="s">
        <v>12</v>
      </c>
      <c r="B193">
        <v>1470</v>
      </c>
      <c r="C193">
        <v>2016</v>
      </c>
      <c r="D193" t="s">
        <v>5</v>
      </c>
    </row>
    <row r="194" spans="1:4" x14ac:dyDescent="0.3">
      <c r="A194" t="s">
        <v>12</v>
      </c>
      <c r="B194">
        <v>1544</v>
      </c>
      <c r="C194">
        <v>2017</v>
      </c>
      <c r="D194" t="s">
        <v>5</v>
      </c>
    </row>
    <row r="195" spans="1:4" x14ac:dyDescent="0.3">
      <c r="A195" t="s">
        <v>12</v>
      </c>
      <c r="B195">
        <v>1775</v>
      </c>
      <c r="C195">
        <v>2018</v>
      </c>
      <c r="D195" t="s">
        <v>5</v>
      </c>
    </row>
    <row r="196" spans="1:4" x14ac:dyDescent="0.3">
      <c r="A196" t="s">
        <v>12</v>
      </c>
      <c r="B196">
        <v>1755</v>
      </c>
      <c r="C196">
        <v>2019</v>
      </c>
      <c r="D196" t="s">
        <v>5</v>
      </c>
    </row>
    <row r="197" spans="1:4" x14ac:dyDescent="0.3">
      <c r="A197" t="s">
        <v>12</v>
      </c>
      <c r="B197">
        <v>1751</v>
      </c>
      <c r="C197">
        <v>2020</v>
      </c>
      <c r="D197" t="s">
        <v>5</v>
      </c>
    </row>
    <row r="198" spans="1:4" x14ac:dyDescent="0.3">
      <c r="A198" t="s">
        <v>12</v>
      </c>
      <c r="B198">
        <v>1795</v>
      </c>
      <c r="C198">
        <v>2021</v>
      </c>
      <c r="D198" t="s">
        <v>5</v>
      </c>
    </row>
    <row r="199" spans="1:4" x14ac:dyDescent="0.3">
      <c r="A199" t="s">
        <v>12</v>
      </c>
      <c r="B199">
        <v>1754</v>
      </c>
      <c r="C199">
        <v>2022</v>
      </c>
      <c r="D199" t="s">
        <v>5</v>
      </c>
    </row>
    <row r="200" spans="1:4" x14ac:dyDescent="0.3">
      <c r="A200" t="s">
        <v>12</v>
      </c>
      <c r="B200">
        <v>1683</v>
      </c>
      <c r="C200">
        <v>2023</v>
      </c>
      <c r="D200" t="s">
        <v>5</v>
      </c>
    </row>
    <row r="201" spans="1:4" x14ac:dyDescent="0.3">
      <c r="A201" t="s">
        <v>12</v>
      </c>
      <c r="B201">
        <v>1686</v>
      </c>
      <c r="C201">
        <v>2024</v>
      </c>
      <c r="D201" t="s">
        <v>5</v>
      </c>
    </row>
    <row r="202" spans="1:4" x14ac:dyDescent="0.3">
      <c r="A202" t="s">
        <v>13</v>
      </c>
      <c r="B202">
        <v>4727</v>
      </c>
      <c r="C202">
        <v>2000</v>
      </c>
      <c r="D202" t="s">
        <v>5</v>
      </c>
    </row>
    <row r="203" spans="1:4" x14ac:dyDescent="0.3">
      <c r="A203" t="s">
        <v>13</v>
      </c>
      <c r="B203">
        <v>6759</v>
      </c>
      <c r="C203">
        <v>2001</v>
      </c>
      <c r="D203" t="s">
        <v>5</v>
      </c>
    </row>
    <row r="204" spans="1:4" x14ac:dyDescent="0.3">
      <c r="A204" t="s">
        <v>13</v>
      </c>
      <c r="B204">
        <v>9342</v>
      </c>
      <c r="C204">
        <v>2002</v>
      </c>
      <c r="D204" t="s">
        <v>5</v>
      </c>
    </row>
    <row r="205" spans="1:4" x14ac:dyDescent="0.3">
      <c r="A205" t="s">
        <v>13</v>
      </c>
      <c r="B205">
        <v>12075</v>
      </c>
      <c r="C205">
        <v>2003</v>
      </c>
      <c r="D205" t="s">
        <v>5</v>
      </c>
    </row>
    <row r="206" spans="1:4" x14ac:dyDescent="0.3">
      <c r="A206" t="s">
        <v>13</v>
      </c>
      <c r="B206">
        <v>15700</v>
      </c>
      <c r="C206">
        <v>2004</v>
      </c>
      <c r="D206" t="s">
        <v>5</v>
      </c>
    </row>
    <row r="207" spans="1:4" x14ac:dyDescent="0.3">
      <c r="A207" t="s">
        <v>13</v>
      </c>
      <c r="B207">
        <v>21176</v>
      </c>
      <c r="C207">
        <v>2005</v>
      </c>
      <c r="D207" t="s">
        <v>5</v>
      </c>
    </row>
    <row r="208" spans="1:4" x14ac:dyDescent="0.3">
      <c r="A208" t="s">
        <v>13</v>
      </c>
      <c r="B208">
        <v>23297</v>
      </c>
      <c r="C208">
        <v>2006</v>
      </c>
      <c r="D208" t="s">
        <v>5</v>
      </c>
    </row>
    <row r="209" spans="1:4" x14ac:dyDescent="0.3">
      <c r="A209" t="s">
        <v>13</v>
      </c>
      <c r="B209">
        <v>27568</v>
      </c>
      <c r="C209">
        <v>2007</v>
      </c>
      <c r="D209" t="s">
        <v>5</v>
      </c>
    </row>
    <row r="210" spans="1:4" x14ac:dyDescent="0.3">
      <c r="A210" t="s">
        <v>13</v>
      </c>
      <c r="B210">
        <v>32946</v>
      </c>
      <c r="C210">
        <v>2008</v>
      </c>
      <c r="D210" t="s">
        <v>5</v>
      </c>
    </row>
    <row r="211" spans="1:4" x14ac:dyDescent="0.3">
      <c r="A211" t="s">
        <v>13</v>
      </c>
      <c r="B211">
        <v>38117</v>
      </c>
      <c r="C211">
        <v>2009</v>
      </c>
      <c r="D211" t="s">
        <v>5</v>
      </c>
    </row>
    <row r="212" spans="1:4" x14ac:dyDescent="0.3">
      <c r="A212" t="s">
        <v>13</v>
      </c>
      <c r="B212">
        <v>44271</v>
      </c>
      <c r="C212">
        <v>2010</v>
      </c>
      <c r="D212" t="s">
        <v>5</v>
      </c>
    </row>
    <row r="213" spans="1:4" x14ac:dyDescent="0.3">
      <c r="A213" t="s">
        <v>13</v>
      </c>
      <c r="B213">
        <v>42918</v>
      </c>
      <c r="C213">
        <v>2011</v>
      </c>
      <c r="D213" t="s">
        <v>5</v>
      </c>
    </row>
    <row r="214" spans="1:4" x14ac:dyDescent="0.3">
      <c r="A214" t="s">
        <v>13</v>
      </c>
      <c r="B214">
        <v>49472</v>
      </c>
      <c r="C214">
        <v>2012</v>
      </c>
      <c r="D214" t="s">
        <v>5</v>
      </c>
    </row>
    <row r="215" spans="1:4" x14ac:dyDescent="0.3">
      <c r="A215" t="s">
        <v>13</v>
      </c>
      <c r="B215">
        <v>55646</v>
      </c>
      <c r="C215">
        <v>2013</v>
      </c>
      <c r="D215" t="s">
        <v>5</v>
      </c>
    </row>
    <row r="216" spans="1:4" x14ac:dyDescent="0.3">
      <c r="A216" t="s">
        <v>13</v>
      </c>
      <c r="B216">
        <v>52013</v>
      </c>
      <c r="C216">
        <v>2014</v>
      </c>
      <c r="D216" t="s">
        <v>5</v>
      </c>
    </row>
    <row r="217" spans="1:4" x14ac:dyDescent="0.3">
      <c r="A217" t="s">
        <v>13</v>
      </c>
      <c r="B217">
        <v>49325</v>
      </c>
      <c r="C217">
        <v>2015</v>
      </c>
      <c r="D217" t="s">
        <v>5</v>
      </c>
    </row>
    <row r="218" spans="1:4" x14ac:dyDescent="0.3">
      <c r="A218" t="s">
        <v>13</v>
      </c>
      <c r="B218">
        <v>48905</v>
      </c>
      <c r="C218">
        <v>2016</v>
      </c>
      <c r="D218" t="s">
        <v>5</v>
      </c>
    </row>
    <row r="219" spans="1:4" x14ac:dyDescent="0.3">
      <c r="A219" t="s">
        <v>13</v>
      </c>
      <c r="B219">
        <v>49127</v>
      </c>
      <c r="C219">
        <v>2017</v>
      </c>
      <c r="D219" t="s">
        <v>5</v>
      </c>
    </row>
    <row r="220" spans="1:4" x14ac:dyDescent="0.3">
      <c r="A220" t="s">
        <v>13</v>
      </c>
      <c r="B220">
        <v>50896</v>
      </c>
      <c r="C220">
        <v>2018</v>
      </c>
      <c r="D220" t="s">
        <v>5</v>
      </c>
    </row>
    <row r="221" spans="1:4" x14ac:dyDescent="0.3">
      <c r="A221" t="s">
        <v>13</v>
      </c>
      <c r="B221">
        <v>55647</v>
      </c>
      <c r="C221">
        <v>2019</v>
      </c>
      <c r="D221" t="s">
        <v>5</v>
      </c>
    </row>
    <row r="222" spans="1:4" x14ac:dyDescent="0.3">
      <c r="A222" t="s">
        <v>13</v>
      </c>
      <c r="B222">
        <v>56444</v>
      </c>
      <c r="C222">
        <v>2020</v>
      </c>
      <c r="D222" t="s">
        <v>5</v>
      </c>
    </row>
    <row r="223" spans="1:4" x14ac:dyDescent="0.3">
      <c r="A223" t="s">
        <v>13</v>
      </c>
      <c r="B223">
        <v>62061</v>
      </c>
      <c r="C223">
        <v>2021</v>
      </c>
      <c r="D223" t="s">
        <v>5</v>
      </c>
    </row>
    <row r="224" spans="1:4" x14ac:dyDescent="0.3">
      <c r="A224" t="s">
        <v>13</v>
      </c>
      <c r="B224">
        <v>62784</v>
      </c>
      <c r="C224">
        <v>2022</v>
      </c>
      <c r="D224" t="s">
        <v>5</v>
      </c>
    </row>
    <row r="225" spans="1:4" x14ac:dyDescent="0.3">
      <c r="A225" t="s">
        <v>13</v>
      </c>
      <c r="B225">
        <v>64275</v>
      </c>
      <c r="C225">
        <v>2023</v>
      </c>
      <c r="D225" t="s">
        <v>5</v>
      </c>
    </row>
    <row r="226" spans="1:4" x14ac:dyDescent="0.3">
      <c r="A226" t="s">
        <v>13</v>
      </c>
      <c r="B226">
        <v>62089</v>
      </c>
      <c r="C226">
        <v>2024</v>
      </c>
      <c r="D226" t="s">
        <v>5</v>
      </c>
    </row>
    <row r="227" spans="1:4" x14ac:dyDescent="0.3">
      <c r="A227" t="s">
        <v>14</v>
      </c>
      <c r="B227">
        <v>14</v>
      </c>
      <c r="C227">
        <v>2000</v>
      </c>
      <c r="D227" t="s">
        <v>5</v>
      </c>
    </row>
    <row r="228" spans="1:4" x14ac:dyDescent="0.3">
      <c r="A228" t="s">
        <v>14</v>
      </c>
      <c r="B228">
        <v>17</v>
      </c>
      <c r="C228">
        <v>2001</v>
      </c>
      <c r="D228" t="s">
        <v>5</v>
      </c>
    </row>
    <row r="229" spans="1:4" x14ac:dyDescent="0.3">
      <c r="A229" t="s">
        <v>14</v>
      </c>
      <c r="B229">
        <v>18</v>
      </c>
      <c r="C229">
        <v>2002</v>
      </c>
      <c r="D229" t="s">
        <v>5</v>
      </c>
    </row>
    <row r="230" spans="1:4" x14ac:dyDescent="0.3">
      <c r="A230" t="s">
        <v>14</v>
      </c>
      <c r="B230">
        <v>20</v>
      </c>
      <c r="C230">
        <v>2003</v>
      </c>
      <c r="D230" t="s">
        <v>5</v>
      </c>
    </row>
    <row r="231" spans="1:4" x14ac:dyDescent="0.3">
      <c r="A231" t="s">
        <v>14</v>
      </c>
      <c r="B231">
        <v>23</v>
      </c>
      <c r="C231">
        <v>2004</v>
      </c>
      <c r="D231" t="s">
        <v>5</v>
      </c>
    </row>
    <row r="232" spans="1:4" x14ac:dyDescent="0.3">
      <c r="A232" t="s">
        <v>14</v>
      </c>
      <c r="B232">
        <v>47</v>
      </c>
      <c r="C232">
        <v>2005</v>
      </c>
      <c r="D232" t="s">
        <v>5</v>
      </c>
    </row>
    <row r="233" spans="1:4" x14ac:dyDescent="0.3">
      <c r="A233" t="s">
        <v>14</v>
      </c>
      <c r="B233">
        <v>124</v>
      </c>
      <c r="C233">
        <v>2006</v>
      </c>
      <c r="D233" t="s">
        <v>5</v>
      </c>
    </row>
    <row r="234" spans="1:4" x14ac:dyDescent="0.3">
      <c r="A234" t="s">
        <v>14</v>
      </c>
      <c r="B234">
        <v>507</v>
      </c>
      <c r="C234">
        <v>2007</v>
      </c>
      <c r="D234" t="s">
        <v>5</v>
      </c>
    </row>
    <row r="235" spans="1:4" x14ac:dyDescent="0.3">
      <c r="A235" t="s">
        <v>14</v>
      </c>
      <c r="B235">
        <v>2562</v>
      </c>
      <c r="C235">
        <v>2008</v>
      </c>
      <c r="D235" t="s">
        <v>5</v>
      </c>
    </row>
    <row r="236" spans="1:4" x14ac:dyDescent="0.3">
      <c r="A236" t="s">
        <v>14</v>
      </c>
      <c r="B236">
        <v>5961</v>
      </c>
      <c r="C236">
        <v>2009</v>
      </c>
      <c r="D236" t="s">
        <v>5</v>
      </c>
    </row>
    <row r="237" spans="1:4" x14ac:dyDescent="0.3">
      <c r="A237" t="s">
        <v>14</v>
      </c>
      <c r="B237">
        <v>6425</v>
      </c>
      <c r="C237">
        <v>2010</v>
      </c>
      <c r="D237" t="s">
        <v>5</v>
      </c>
    </row>
    <row r="238" spans="1:4" x14ac:dyDescent="0.3">
      <c r="A238" t="s">
        <v>14</v>
      </c>
      <c r="B238">
        <v>7440</v>
      </c>
      <c r="C238">
        <v>2011</v>
      </c>
      <c r="D238" t="s">
        <v>5</v>
      </c>
    </row>
    <row r="239" spans="1:4" x14ac:dyDescent="0.3">
      <c r="A239" t="s">
        <v>14</v>
      </c>
      <c r="B239">
        <v>8192</v>
      </c>
      <c r="C239">
        <v>2012</v>
      </c>
      <c r="D239" t="s">
        <v>5</v>
      </c>
    </row>
    <row r="240" spans="1:4" x14ac:dyDescent="0.3">
      <c r="A240" t="s">
        <v>14</v>
      </c>
      <c r="B240">
        <v>8326</v>
      </c>
      <c r="C240">
        <v>2013</v>
      </c>
      <c r="D240" t="s">
        <v>5</v>
      </c>
    </row>
    <row r="241" spans="1:4" x14ac:dyDescent="0.3">
      <c r="A241" t="s">
        <v>14</v>
      </c>
      <c r="B241">
        <v>8217</v>
      </c>
      <c r="C241">
        <v>2014</v>
      </c>
      <c r="D241" t="s">
        <v>5</v>
      </c>
    </row>
    <row r="242" spans="1:4" x14ac:dyDescent="0.3">
      <c r="A242" t="s">
        <v>14</v>
      </c>
      <c r="B242">
        <v>8266</v>
      </c>
      <c r="C242">
        <v>2015</v>
      </c>
      <c r="D242" t="s">
        <v>5</v>
      </c>
    </row>
    <row r="243" spans="1:4" x14ac:dyDescent="0.3">
      <c r="A243" t="s">
        <v>14</v>
      </c>
      <c r="B243">
        <v>8063</v>
      </c>
      <c r="C243">
        <v>2016</v>
      </c>
      <c r="D243" t="s">
        <v>5</v>
      </c>
    </row>
    <row r="244" spans="1:4" x14ac:dyDescent="0.3">
      <c r="A244" t="s">
        <v>14</v>
      </c>
      <c r="B244">
        <v>8514</v>
      </c>
      <c r="C244">
        <v>2017</v>
      </c>
      <c r="D244" t="s">
        <v>5</v>
      </c>
    </row>
    <row r="245" spans="1:4" x14ac:dyDescent="0.3">
      <c r="A245" t="s">
        <v>14</v>
      </c>
      <c r="B245">
        <v>7877</v>
      </c>
      <c r="C245">
        <v>2018</v>
      </c>
      <c r="D245" t="s">
        <v>5</v>
      </c>
    </row>
    <row r="246" spans="1:4" x14ac:dyDescent="0.3">
      <c r="A246" t="s">
        <v>14</v>
      </c>
      <c r="B246">
        <v>9420</v>
      </c>
      <c r="C246">
        <v>2019</v>
      </c>
      <c r="D246" t="s">
        <v>5</v>
      </c>
    </row>
    <row r="247" spans="1:4" x14ac:dyDescent="0.3">
      <c r="A247" t="s">
        <v>14</v>
      </c>
      <c r="B247">
        <v>15675</v>
      </c>
      <c r="C247">
        <v>2020</v>
      </c>
      <c r="D247" t="s">
        <v>5</v>
      </c>
    </row>
    <row r="248" spans="1:4" x14ac:dyDescent="0.3">
      <c r="A248" t="s">
        <v>14</v>
      </c>
      <c r="B248">
        <v>21922</v>
      </c>
      <c r="C248">
        <v>2021</v>
      </c>
      <c r="D248" t="s">
        <v>5</v>
      </c>
    </row>
    <row r="249" spans="1:4" x14ac:dyDescent="0.3">
      <c r="A249" t="s">
        <v>14</v>
      </c>
      <c r="B249">
        <v>31187</v>
      </c>
      <c r="C249">
        <v>2022</v>
      </c>
      <c r="D249" t="s">
        <v>5</v>
      </c>
    </row>
    <row r="250" spans="1:4" x14ac:dyDescent="0.3">
      <c r="A250" t="s">
        <v>14</v>
      </c>
      <c r="B250">
        <v>43421</v>
      </c>
      <c r="C250">
        <v>2023</v>
      </c>
      <c r="D250" t="s">
        <v>5</v>
      </c>
    </row>
    <row r="251" spans="1:4" x14ac:dyDescent="0.3">
      <c r="A251" t="s">
        <v>14</v>
      </c>
      <c r="B251">
        <v>53752</v>
      </c>
      <c r="C251">
        <v>2024</v>
      </c>
      <c r="D251" t="s">
        <v>5</v>
      </c>
    </row>
    <row r="252" spans="1:4" x14ac:dyDescent="0.3">
      <c r="A252" t="s">
        <v>15</v>
      </c>
      <c r="C252">
        <v>2000</v>
      </c>
      <c r="D252" t="s">
        <v>5</v>
      </c>
    </row>
    <row r="253" spans="1:4" x14ac:dyDescent="0.3">
      <c r="A253" t="s">
        <v>15</v>
      </c>
      <c r="C253">
        <v>2001</v>
      </c>
      <c r="D253" t="s">
        <v>5</v>
      </c>
    </row>
    <row r="254" spans="1:4" x14ac:dyDescent="0.3">
      <c r="A254" t="s">
        <v>15</v>
      </c>
      <c r="C254">
        <v>2002</v>
      </c>
      <c r="D254" t="s">
        <v>5</v>
      </c>
    </row>
    <row r="255" spans="1:4" x14ac:dyDescent="0.3">
      <c r="A255" t="s">
        <v>15</v>
      </c>
      <c r="C255">
        <v>2003</v>
      </c>
      <c r="D255" t="s">
        <v>5</v>
      </c>
    </row>
    <row r="256" spans="1:4" x14ac:dyDescent="0.3">
      <c r="A256" t="s">
        <v>15</v>
      </c>
      <c r="C256">
        <v>2004</v>
      </c>
      <c r="D256" t="s">
        <v>5</v>
      </c>
    </row>
    <row r="257" spans="1:4" x14ac:dyDescent="0.3">
      <c r="A257" t="s">
        <v>15</v>
      </c>
      <c r="C257">
        <v>2005</v>
      </c>
      <c r="D257" t="s">
        <v>5</v>
      </c>
    </row>
    <row r="258" spans="1:4" x14ac:dyDescent="0.3">
      <c r="A258" t="s">
        <v>15</v>
      </c>
      <c r="B258">
        <v>0</v>
      </c>
      <c r="C258">
        <v>2006</v>
      </c>
      <c r="D258" t="s">
        <v>5</v>
      </c>
    </row>
    <row r="259" spans="1:4" x14ac:dyDescent="0.3">
      <c r="A259" t="s">
        <v>15</v>
      </c>
      <c r="B259">
        <v>8</v>
      </c>
      <c r="C259">
        <v>2007</v>
      </c>
      <c r="D259" t="s">
        <v>5</v>
      </c>
    </row>
    <row r="260" spans="1:4" x14ac:dyDescent="0.3">
      <c r="A260" t="s">
        <v>15</v>
      </c>
      <c r="B260">
        <v>16</v>
      </c>
      <c r="C260">
        <v>2008</v>
      </c>
      <c r="D260" t="s">
        <v>5</v>
      </c>
    </row>
    <row r="261" spans="1:4" x14ac:dyDescent="0.3">
      <c r="A261" t="s">
        <v>15</v>
      </c>
      <c r="B261">
        <v>103</v>
      </c>
      <c r="C261">
        <v>2009</v>
      </c>
      <c r="D261" t="s">
        <v>5</v>
      </c>
    </row>
    <row r="262" spans="1:4" x14ac:dyDescent="0.3">
      <c r="A262" t="s">
        <v>15</v>
      </c>
      <c r="B262">
        <v>761</v>
      </c>
      <c r="C262">
        <v>2010</v>
      </c>
      <c r="D262" t="s">
        <v>5</v>
      </c>
    </row>
    <row r="263" spans="1:4" x14ac:dyDescent="0.3">
      <c r="A263" t="s">
        <v>15</v>
      </c>
      <c r="B263">
        <v>1959</v>
      </c>
      <c r="C263">
        <v>2011</v>
      </c>
      <c r="D263" t="s">
        <v>5</v>
      </c>
    </row>
    <row r="264" spans="1:4" x14ac:dyDescent="0.3">
      <c r="A264" t="s">
        <v>15</v>
      </c>
      <c r="B264">
        <v>3775</v>
      </c>
      <c r="C264">
        <v>2012</v>
      </c>
      <c r="D264" t="s">
        <v>5</v>
      </c>
    </row>
    <row r="265" spans="1:4" x14ac:dyDescent="0.3">
      <c r="A265" t="s">
        <v>15</v>
      </c>
      <c r="B265">
        <v>4769</v>
      </c>
      <c r="C265">
        <v>2013</v>
      </c>
      <c r="D265" t="s">
        <v>5</v>
      </c>
    </row>
    <row r="266" spans="1:4" x14ac:dyDescent="0.3">
      <c r="A266" t="s">
        <v>15</v>
      </c>
      <c r="B266">
        <v>5454</v>
      </c>
      <c r="C266">
        <v>2014</v>
      </c>
      <c r="D266" t="s">
        <v>5</v>
      </c>
    </row>
    <row r="267" spans="1:4" x14ac:dyDescent="0.3">
      <c r="A267" t="s">
        <v>15</v>
      </c>
      <c r="B267">
        <v>5593</v>
      </c>
      <c r="C267">
        <v>2015</v>
      </c>
      <c r="D267" t="s">
        <v>5</v>
      </c>
    </row>
    <row r="268" spans="1:4" x14ac:dyDescent="0.3">
      <c r="A268" t="s">
        <v>15</v>
      </c>
      <c r="B268">
        <v>5579</v>
      </c>
      <c r="C268">
        <v>2016</v>
      </c>
      <c r="D268" t="s">
        <v>5</v>
      </c>
    </row>
    <row r="269" spans="1:4" x14ac:dyDescent="0.3">
      <c r="A269" t="s">
        <v>15</v>
      </c>
      <c r="B269">
        <v>5883</v>
      </c>
      <c r="C269">
        <v>2017</v>
      </c>
      <c r="D269" t="s">
        <v>5</v>
      </c>
    </row>
    <row r="270" spans="1:4" x14ac:dyDescent="0.3">
      <c r="A270" t="s">
        <v>15</v>
      </c>
      <c r="B270">
        <v>4867</v>
      </c>
      <c r="C270">
        <v>2018</v>
      </c>
      <c r="D270" t="s">
        <v>5</v>
      </c>
    </row>
    <row r="271" spans="1:4" x14ac:dyDescent="0.3">
      <c r="A271" t="s">
        <v>15</v>
      </c>
      <c r="B271">
        <v>5683</v>
      </c>
      <c r="C271">
        <v>2019</v>
      </c>
      <c r="D271" t="s">
        <v>5</v>
      </c>
    </row>
    <row r="272" spans="1:4" x14ac:dyDescent="0.3">
      <c r="A272" t="s">
        <v>15</v>
      </c>
      <c r="B272">
        <v>4992</v>
      </c>
      <c r="C272">
        <v>2020</v>
      </c>
      <c r="D272" t="s">
        <v>5</v>
      </c>
    </row>
    <row r="273" spans="1:4" x14ac:dyDescent="0.3">
      <c r="A273" t="s">
        <v>15</v>
      </c>
      <c r="B273">
        <v>5176</v>
      </c>
      <c r="C273">
        <v>2021</v>
      </c>
      <c r="D273" t="s">
        <v>5</v>
      </c>
    </row>
    <row r="274" spans="1:4" x14ac:dyDescent="0.3">
      <c r="A274" t="s">
        <v>15</v>
      </c>
      <c r="B274">
        <v>4536</v>
      </c>
      <c r="C274">
        <v>2022</v>
      </c>
      <c r="D274" t="s">
        <v>5</v>
      </c>
    </row>
    <row r="275" spans="1:4" x14ac:dyDescent="0.3">
      <c r="A275" t="s">
        <v>15</v>
      </c>
      <c r="B275">
        <v>5165</v>
      </c>
      <c r="C275">
        <v>2023</v>
      </c>
      <c r="D275" t="s">
        <v>5</v>
      </c>
    </row>
    <row r="276" spans="1:4" x14ac:dyDescent="0.3">
      <c r="A276" t="s">
        <v>15</v>
      </c>
      <c r="B276">
        <v>4540</v>
      </c>
      <c r="C276">
        <v>2024</v>
      </c>
      <c r="D276" t="s">
        <v>5</v>
      </c>
    </row>
    <row r="277" spans="1:4" x14ac:dyDescent="0.3">
      <c r="A277" t="s">
        <v>16</v>
      </c>
      <c r="C277">
        <v>2000</v>
      </c>
      <c r="D277" t="s">
        <v>5</v>
      </c>
    </row>
    <row r="278" spans="1:4" x14ac:dyDescent="0.3">
      <c r="A278" t="s">
        <v>16</v>
      </c>
      <c r="C278">
        <v>2001</v>
      </c>
      <c r="D278" t="s">
        <v>5</v>
      </c>
    </row>
    <row r="279" spans="1:4" x14ac:dyDescent="0.3">
      <c r="A279" t="s">
        <v>16</v>
      </c>
      <c r="C279">
        <v>2002</v>
      </c>
      <c r="D279" t="s">
        <v>5</v>
      </c>
    </row>
    <row r="280" spans="1:4" x14ac:dyDescent="0.3">
      <c r="A280" t="s">
        <v>16</v>
      </c>
      <c r="C280">
        <v>2003</v>
      </c>
      <c r="D280" t="s">
        <v>5</v>
      </c>
    </row>
    <row r="281" spans="1:4" x14ac:dyDescent="0.3">
      <c r="A281" t="s">
        <v>16</v>
      </c>
      <c r="B281">
        <v>2963</v>
      </c>
      <c r="C281">
        <v>2004</v>
      </c>
      <c r="D281" t="s">
        <v>5</v>
      </c>
    </row>
    <row r="282" spans="1:4" x14ac:dyDescent="0.3">
      <c r="A282" t="s">
        <v>16</v>
      </c>
      <c r="B282">
        <v>4994</v>
      </c>
      <c r="C282">
        <v>2005</v>
      </c>
      <c r="D282" t="s">
        <v>5</v>
      </c>
    </row>
    <row r="283" spans="1:4" x14ac:dyDescent="0.3">
      <c r="A283" t="s">
        <v>16</v>
      </c>
      <c r="B283">
        <v>329</v>
      </c>
      <c r="C283">
        <v>2006</v>
      </c>
      <c r="D283" t="s">
        <v>5</v>
      </c>
    </row>
    <row r="284" spans="1:4" x14ac:dyDescent="0.3">
      <c r="A284" t="s">
        <v>16</v>
      </c>
      <c r="B284">
        <v>324</v>
      </c>
      <c r="C284">
        <v>2007</v>
      </c>
      <c r="D284" t="s">
        <v>5</v>
      </c>
    </row>
    <row r="285" spans="1:4" x14ac:dyDescent="0.3">
      <c r="A285" t="s">
        <v>16</v>
      </c>
      <c r="B285">
        <v>307</v>
      </c>
      <c r="C285">
        <v>2008</v>
      </c>
      <c r="D285" t="s">
        <v>5</v>
      </c>
    </row>
    <row r="286" spans="1:4" x14ac:dyDescent="0.3">
      <c r="A286" t="s">
        <v>16</v>
      </c>
      <c r="B286">
        <v>341</v>
      </c>
      <c r="C286">
        <v>2009</v>
      </c>
      <c r="D286" t="s">
        <v>5</v>
      </c>
    </row>
    <row r="287" spans="1:4" x14ac:dyDescent="0.3">
      <c r="A287" t="s">
        <v>16</v>
      </c>
      <c r="B287">
        <v>159</v>
      </c>
      <c r="C287">
        <v>2010</v>
      </c>
      <c r="D287" t="s">
        <v>5</v>
      </c>
    </row>
    <row r="288" spans="1:4" x14ac:dyDescent="0.3">
      <c r="A288" t="s">
        <v>16</v>
      </c>
      <c r="B288">
        <v>171</v>
      </c>
      <c r="C288">
        <v>2011</v>
      </c>
      <c r="D288" t="s">
        <v>5</v>
      </c>
    </row>
    <row r="289" spans="1:4" x14ac:dyDescent="0.3">
      <c r="A289" t="s">
        <v>16</v>
      </c>
      <c r="B289">
        <v>175</v>
      </c>
      <c r="C289">
        <v>2012</v>
      </c>
      <c r="D289" t="s">
        <v>5</v>
      </c>
    </row>
    <row r="290" spans="1:4" x14ac:dyDescent="0.3">
      <c r="A290" t="s">
        <v>16</v>
      </c>
      <c r="B290">
        <v>0</v>
      </c>
      <c r="C290">
        <v>2013</v>
      </c>
      <c r="D290" t="s">
        <v>5</v>
      </c>
    </row>
    <row r="291" spans="1:4" x14ac:dyDescent="0.3">
      <c r="A291" t="s">
        <v>16</v>
      </c>
      <c r="C291">
        <v>2014</v>
      </c>
      <c r="D291" t="s">
        <v>5</v>
      </c>
    </row>
    <row r="292" spans="1:4" x14ac:dyDescent="0.3">
      <c r="A292" t="s">
        <v>16</v>
      </c>
      <c r="B292">
        <v>216</v>
      </c>
      <c r="C292">
        <v>2015</v>
      </c>
      <c r="D292" t="s">
        <v>5</v>
      </c>
    </row>
    <row r="293" spans="1:4" x14ac:dyDescent="0.3">
      <c r="A293" t="s">
        <v>16</v>
      </c>
      <c r="B293">
        <v>108</v>
      </c>
      <c r="C293">
        <v>2016</v>
      </c>
      <c r="D293" t="s">
        <v>5</v>
      </c>
    </row>
    <row r="294" spans="1:4" x14ac:dyDescent="0.3">
      <c r="A294" t="s">
        <v>16</v>
      </c>
      <c r="B294">
        <v>91</v>
      </c>
      <c r="C294">
        <v>2017</v>
      </c>
      <c r="D294" t="s">
        <v>5</v>
      </c>
    </row>
    <row r="295" spans="1:4" x14ac:dyDescent="0.3">
      <c r="A295" t="s">
        <v>16</v>
      </c>
      <c r="B295">
        <v>94</v>
      </c>
      <c r="C295">
        <v>2018</v>
      </c>
      <c r="D295" t="s">
        <v>5</v>
      </c>
    </row>
    <row r="296" spans="1:4" x14ac:dyDescent="0.3">
      <c r="A296" t="s">
        <v>16</v>
      </c>
      <c r="B296">
        <v>139</v>
      </c>
      <c r="C296">
        <v>2019</v>
      </c>
      <c r="D296" t="s">
        <v>5</v>
      </c>
    </row>
    <row r="297" spans="1:4" x14ac:dyDescent="0.3">
      <c r="A297" t="s">
        <v>16</v>
      </c>
      <c r="B297">
        <v>160</v>
      </c>
      <c r="C297">
        <v>2020</v>
      </c>
      <c r="D297" t="s">
        <v>5</v>
      </c>
    </row>
    <row r="298" spans="1:4" x14ac:dyDescent="0.3">
      <c r="A298" t="s">
        <v>16</v>
      </c>
      <c r="B298">
        <v>280</v>
      </c>
      <c r="C298">
        <v>2021</v>
      </c>
      <c r="D298" t="s">
        <v>5</v>
      </c>
    </row>
    <row r="299" spans="1:4" x14ac:dyDescent="0.3">
      <c r="A299" t="s">
        <v>16</v>
      </c>
      <c r="B299">
        <v>282</v>
      </c>
      <c r="C299">
        <v>2022</v>
      </c>
      <c r="D299" t="s">
        <v>5</v>
      </c>
    </row>
    <row r="300" spans="1:4" x14ac:dyDescent="0.3">
      <c r="A300" t="s">
        <v>16</v>
      </c>
      <c r="B300">
        <v>273</v>
      </c>
      <c r="C300">
        <v>2023</v>
      </c>
      <c r="D300" t="s">
        <v>5</v>
      </c>
    </row>
    <row r="301" spans="1:4" x14ac:dyDescent="0.3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B51"/>
  <sheetViews>
    <sheetView topLeftCell="B1" workbookViewId="0">
      <selection activeCell="J2" sqref="J2:AB5"/>
    </sheetView>
  </sheetViews>
  <sheetFormatPr defaultRowHeight="14.4" x14ac:dyDescent="0.3"/>
  <cols>
    <col min="1" max="1" width="20.6640625" customWidth="1"/>
  </cols>
  <sheetData>
    <row r="1" spans="1:28" x14ac:dyDescent="0.3">
      <c r="A1" t="s">
        <v>19</v>
      </c>
      <c r="B1" t="s">
        <v>1</v>
      </c>
      <c r="C1" t="s">
        <v>2</v>
      </c>
      <c r="D1" t="s">
        <v>3</v>
      </c>
    </row>
    <row r="2" spans="1:28" x14ac:dyDescent="0.3">
      <c r="A2" t="s">
        <v>20</v>
      </c>
      <c r="B2">
        <v>12268</v>
      </c>
      <c r="C2">
        <v>2000</v>
      </c>
      <c r="D2" t="s">
        <v>22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  <c r="AB2">
        <v>2024</v>
      </c>
    </row>
    <row r="3" spans="1:28" x14ac:dyDescent="0.3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 t="shared" ref="J3:S4" si="0">SUMIFS($B:$B,$A:$A,$I3,$C:$C,J$2)*0.0036</f>
        <v>32.7348</v>
      </c>
      <c r="K3">
        <f t="shared" si="0"/>
        <v>31.582799999999999</v>
      </c>
      <c r="L3">
        <f t="shared" si="0"/>
        <v>21.171599999999998</v>
      </c>
      <c r="M3">
        <f t="shared" si="0"/>
        <v>24.303599999999999</v>
      </c>
      <c r="N3">
        <f t="shared" si="0"/>
        <v>18.741599999999998</v>
      </c>
      <c r="O3">
        <f t="shared" si="0"/>
        <v>28.555199999999999</v>
      </c>
      <c r="P3">
        <f t="shared" si="0"/>
        <v>28.033200000000001</v>
      </c>
      <c r="Q3">
        <f t="shared" si="0"/>
        <v>35.593199999999996</v>
      </c>
      <c r="R3">
        <f t="shared" si="0"/>
        <v>44.315999999999995</v>
      </c>
      <c r="S3">
        <f t="shared" si="0"/>
        <v>53.8416</v>
      </c>
      <c r="T3">
        <f t="shared" ref="T3:AB4" si="1">SUMIFS($B:$B,$A:$A,$I3,$C:$C,T$2)*0.0036</f>
        <v>78.641999999999996</v>
      </c>
      <c r="U3">
        <f t="shared" si="1"/>
        <v>85.543199999999999</v>
      </c>
      <c r="V3">
        <f t="shared" si="1"/>
        <v>86.464799999999997</v>
      </c>
      <c r="W3">
        <f t="shared" si="1"/>
        <v>67.391999999999996</v>
      </c>
      <c r="X3">
        <f t="shared" si="1"/>
        <v>64.540800000000004</v>
      </c>
      <c r="Y3">
        <f t="shared" si="1"/>
        <v>62.679600000000001</v>
      </c>
      <c r="Z3">
        <f t="shared" si="1"/>
        <v>28.9116</v>
      </c>
      <c r="AA3">
        <f t="shared" si="1"/>
        <v>40.7376</v>
      </c>
      <c r="AB3">
        <f t="shared" si="1"/>
        <v>51.674399999999999</v>
      </c>
    </row>
    <row r="4" spans="1:28" x14ac:dyDescent="0.3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 t="shared" si="0"/>
        <v>-44.5428</v>
      </c>
      <c r="K4">
        <f t="shared" si="0"/>
        <v>-52.2864</v>
      </c>
      <c r="L4">
        <f t="shared" si="0"/>
        <v>-60.911999999999999</v>
      </c>
      <c r="M4">
        <f t="shared" si="0"/>
        <v>-53.478000000000002</v>
      </c>
      <c r="N4">
        <f t="shared" si="0"/>
        <v>-48.740400000000001</v>
      </c>
      <c r="O4">
        <f t="shared" si="0"/>
        <v>-50.482799999999997</v>
      </c>
      <c r="P4">
        <f t="shared" si="0"/>
        <v>-68.349599999999995</v>
      </c>
      <c r="Q4">
        <f t="shared" si="0"/>
        <v>-59.896799999999999</v>
      </c>
      <c r="R4">
        <f t="shared" si="0"/>
        <v>-56.577599999999997</v>
      </c>
      <c r="S4">
        <f t="shared" si="0"/>
        <v>-54.320399999999999</v>
      </c>
      <c r="T4">
        <f t="shared" si="1"/>
        <v>-51.040799999999997</v>
      </c>
      <c r="U4">
        <f t="shared" si="1"/>
        <v>-52.534799999999997</v>
      </c>
      <c r="V4">
        <f t="shared" si="1"/>
        <v>-46.497599999999998</v>
      </c>
      <c r="W4">
        <f t="shared" si="1"/>
        <v>-42.688800000000001</v>
      </c>
      <c r="X4">
        <f t="shared" si="1"/>
        <v>-52.732799999999997</v>
      </c>
      <c r="Y4">
        <f t="shared" si="1"/>
        <v>-59.608799999999995</v>
      </c>
      <c r="Z4">
        <f t="shared" si="1"/>
        <v>-100.19879999999999</v>
      </c>
      <c r="AA4">
        <f t="shared" si="1"/>
        <v>-90.979199999999992</v>
      </c>
      <c r="AB4">
        <f t="shared" si="1"/>
        <v>-88.491599999999991</v>
      </c>
    </row>
    <row r="5" spans="1:28" x14ac:dyDescent="0.3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 t="shared" ref="J5:AB5" si="2">SUM(J3,J4)</f>
        <v>-11.808</v>
      </c>
      <c r="K5">
        <f t="shared" si="2"/>
        <v>-20.703600000000002</v>
      </c>
      <c r="L5">
        <f t="shared" si="2"/>
        <v>-39.740400000000001</v>
      </c>
      <c r="M5">
        <f t="shared" si="2"/>
        <v>-29.174400000000002</v>
      </c>
      <c r="N5">
        <f t="shared" si="2"/>
        <v>-29.998800000000003</v>
      </c>
      <c r="O5">
        <f t="shared" si="2"/>
        <v>-21.927599999999998</v>
      </c>
      <c r="P5">
        <f t="shared" si="2"/>
        <v>-40.316399999999994</v>
      </c>
      <c r="Q5">
        <f t="shared" si="2"/>
        <v>-24.303600000000003</v>
      </c>
      <c r="R5">
        <f t="shared" si="2"/>
        <v>-12.261600000000001</v>
      </c>
      <c r="S5">
        <f t="shared" si="2"/>
        <v>-0.47879999999999967</v>
      </c>
      <c r="T5">
        <f t="shared" si="2"/>
        <v>27.601199999999999</v>
      </c>
      <c r="U5">
        <f t="shared" si="2"/>
        <v>33.008400000000002</v>
      </c>
      <c r="V5">
        <f t="shared" si="2"/>
        <v>39.967199999999998</v>
      </c>
      <c r="W5">
        <f t="shared" si="2"/>
        <v>24.703199999999995</v>
      </c>
      <c r="X5">
        <f t="shared" si="2"/>
        <v>11.808000000000007</v>
      </c>
      <c r="Y5">
        <f t="shared" si="2"/>
        <v>3.0708000000000055</v>
      </c>
      <c r="Z5">
        <f t="shared" si="2"/>
        <v>-71.287199999999984</v>
      </c>
      <c r="AA5">
        <f t="shared" si="2"/>
        <v>-50.241599999999991</v>
      </c>
      <c r="AB5">
        <f t="shared" si="2"/>
        <v>-36.817199999999993</v>
      </c>
    </row>
    <row r="6" spans="1:28" x14ac:dyDescent="0.3">
      <c r="A6" t="s">
        <v>20</v>
      </c>
      <c r="B6">
        <v>8111</v>
      </c>
      <c r="C6">
        <v>2004</v>
      </c>
      <c r="D6" t="s">
        <v>22</v>
      </c>
    </row>
    <row r="7" spans="1:28" x14ac:dyDescent="0.3">
      <c r="A7" t="s">
        <v>20</v>
      </c>
      <c r="B7">
        <v>10212</v>
      </c>
      <c r="C7">
        <v>2005</v>
      </c>
      <c r="D7" t="s">
        <v>22</v>
      </c>
    </row>
    <row r="8" spans="1:28" x14ac:dyDescent="0.3">
      <c r="A8" t="s">
        <v>20</v>
      </c>
      <c r="B8">
        <v>9093</v>
      </c>
      <c r="C8">
        <v>2006</v>
      </c>
      <c r="D8" t="s">
        <v>22</v>
      </c>
    </row>
    <row r="9" spans="1:28" x14ac:dyDescent="0.3">
      <c r="A9" t="s">
        <v>20</v>
      </c>
      <c r="B9">
        <v>8773</v>
      </c>
      <c r="C9">
        <v>2007</v>
      </c>
      <c r="D9" t="s">
        <v>22</v>
      </c>
    </row>
    <row r="10" spans="1:28" x14ac:dyDescent="0.3">
      <c r="A10" t="s">
        <v>20</v>
      </c>
      <c r="B10">
        <v>5881</v>
      </c>
      <c r="C10">
        <v>2008</v>
      </c>
      <c r="D10" t="s">
        <v>22</v>
      </c>
    </row>
    <row r="11" spans="1:28" x14ac:dyDescent="0.3">
      <c r="A11" t="s">
        <v>20</v>
      </c>
      <c r="B11">
        <v>6751</v>
      </c>
      <c r="C11">
        <v>2009</v>
      </c>
      <c r="D11" t="s">
        <v>22</v>
      </c>
    </row>
    <row r="12" spans="1:28" x14ac:dyDescent="0.3">
      <c r="A12" t="s">
        <v>20</v>
      </c>
      <c r="B12">
        <v>5206</v>
      </c>
      <c r="C12">
        <v>2010</v>
      </c>
      <c r="D12" t="s">
        <v>22</v>
      </c>
    </row>
    <row r="13" spans="1:28" x14ac:dyDescent="0.3">
      <c r="A13" t="s">
        <v>20</v>
      </c>
      <c r="B13">
        <v>7932</v>
      </c>
      <c r="C13">
        <v>2011</v>
      </c>
      <c r="D13" t="s">
        <v>22</v>
      </c>
    </row>
    <row r="14" spans="1:28" x14ac:dyDescent="0.3">
      <c r="A14" t="s">
        <v>20</v>
      </c>
      <c r="B14">
        <v>7787</v>
      </c>
      <c r="C14">
        <v>2012</v>
      </c>
      <c r="D14" t="s">
        <v>22</v>
      </c>
    </row>
    <row r="15" spans="1:28" x14ac:dyDescent="0.3">
      <c r="A15" t="s">
        <v>20</v>
      </c>
      <c r="B15">
        <v>9887</v>
      </c>
      <c r="C15">
        <v>2013</v>
      </c>
      <c r="D15" t="s">
        <v>22</v>
      </c>
    </row>
    <row r="16" spans="1:28" x14ac:dyDescent="0.3">
      <c r="A16" t="s">
        <v>20</v>
      </c>
      <c r="B16">
        <v>12310</v>
      </c>
      <c r="C16">
        <v>2014</v>
      </c>
      <c r="D16" t="s">
        <v>22</v>
      </c>
    </row>
    <row r="17" spans="1:4" x14ac:dyDescent="0.3">
      <c r="A17" t="s">
        <v>20</v>
      </c>
      <c r="B17">
        <v>14956</v>
      </c>
      <c r="C17">
        <v>2015</v>
      </c>
      <c r="D17" t="s">
        <v>22</v>
      </c>
    </row>
    <row r="18" spans="1:4" x14ac:dyDescent="0.3">
      <c r="A18" t="s">
        <v>20</v>
      </c>
      <c r="B18">
        <v>21845</v>
      </c>
      <c r="C18">
        <v>2016</v>
      </c>
      <c r="D18" t="s">
        <v>22</v>
      </c>
    </row>
    <row r="19" spans="1:4" x14ac:dyDescent="0.3">
      <c r="A19" t="s">
        <v>20</v>
      </c>
      <c r="B19">
        <v>23762</v>
      </c>
      <c r="C19">
        <v>2017</v>
      </c>
      <c r="D19" t="s">
        <v>22</v>
      </c>
    </row>
    <row r="20" spans="1:4" x14ac:dyDescent="0.3">
      <c r="A20" t="s">
        <v>20</v>
      </c>
      <c r="B20">
        <v>24018</v>
      </c>
      <c r="C20">
        <v>2018</v>
      </c>
      <c r="D20" t="s">
        <v>22</v>
      </c>
    </row>
    <row r="21" spans="1:4" x14ac:dyDescent="0.3">
      <c r="A21" t="s">
        <v>20</v>
      </c>
      <c r="B21">
        <v>18720</v>
      </c>
      <c r="C21">
        <v>2019</v>
      </c>
      <c r="D21" t="s">
        <v>22</v>
      </c>
    </row>
    <row r="22" spans="1:4" x14ac:dyDescent="0.3">
      <c r="A22" t="s">
        <v>20</v>
      </c>
      <c r="B22">
        <v>17928</v>
      </c>
      <c r="C22">
        <v>2020</v>
      </c>
      <c r="D22" t="s">
        <v>22</v>
      </c>
    </row>
    <row r="23" spans="1:4" x14ac:dyDescent="0.3">
      <c r="A23" t="s">
        <v>20</v>
      </c>
      <c r="B23">
        <v>17411</v>
      </c>
      <c r="C23">
        <v>2021</v>
      </c>
      <c r="D23" t="s">
        <v>22</v>
      </c>
    </row>
    <row r="24" spans="1:4" x14ac:dyDescent="0.3">
      <c r="A24" t="s">
        <v>20</v>
      </c>
      <c r="B24">
        <v>8031</v>
      </c>
      <c r="C24">
        <v>2022</v>
      </c>
      <c r="D24" t="s">
        <v>22</v>
      </c>
    </row>
    <row r="25" spans="1:4" x14ac:dyDescent="0.3">
      <c r="A25" t="s">
        <v>20</v>
      </c>
      <c r="B25">
        <v>11316</v>
      </c>
      <c r="C25">
        <v>2023</v>
      </c>
      <c r="D25" t="s">
        <v>22</v>
      </c>
    </row>
    <row r="26" spans="1:4" x14ac:dyDescent="0.3">
      <c r="A26" t="s">
        <v>20</v>
      </c>
      <c r="B26">
        <v>14354</v>
      </c>
      <c r="C26">
        <v>2024</v>
      </c>
      <c r="D26" t="s">
        <v>22</v>
      </c>
    </row>
    <row r="27" spans="1:4" x14ac:dyDescent="0.3">
      <c r="A27" t="s">
        <v>21</v>
      </c>
      <c r="B27">
        <v>-7827</v>
      </c>
      <c r="C27">
        <v>2000</v>
      </c>
      <c r="D27" t="s">
        <v>22</v>
      </c>
    </row>
    <row r="28" spans="1:4" x14ac:dyDescent="0.3">
      <c r="A28" t="s">
        <v>21</v>
      </c>
      <c r="B28">
        <v>-6727</v>
      </c>
      <c r="C28">
        <v>2001</v>
      </c>
      <c r="D28" t="s">
        <v>22</v>
      </c>
    </row>
    <row r="29" spans="1:4" x14ac:dyDescent="0.3">
      <c r="A29" t="s">
        <v>21</v>
      </c>
      <c r="B29">
        <v>-7175</v>
      </c>
      <c r="C29">
        <v>2002</v>
      </c>
      <c r="D29" t="s">
        <v>22</v>
      </c>
    </row>
    <row r="30" spans="1:4" x14ac:dyDescent="0.3">
      <c r="A30" t="s">
        <v>21</v>
      </c>
      <c r="B30">
        <v>-8257</v>
      </c>
      <c r="C30">
        <v>2003</v>
      </c>
      <c r="D30" t="s">
        <v>22</v>
      </c>
    </row>
    <row r="31" spans="1:4" x14ac:dyDescent="0.3">
      <c r="A31" t="s">
        <v>21</v>
      </c>
      <c r="B31">
        <v>-11139</v>
      </c>
      <c r="C31">
        <v>2004</v>
      </c>
      <c r="D31" t="s">
        <v>22</v>
      </c>
    </row>
    <row r="32" spans="1:4" x14ac:dyDescent="0.3">
      <c r="A32" t="s">
        <v>21</v>
      </c>
      <c r="B32">
        <v>-11555</v>
      </c>
      <c r="C32">
        <v>2005</v>
      </c>
      <c r="D32" t="s">
        <v>22</v>
      </c>
    </row>
    <row r="33" spans="1:4" x14ac:dyDescent="0.3">
      <c r="A33" t="s">
        <v>21</v>
      </c>
      <c r="B33">
        <v>-12373</v>
      </c>
      <c r="C33">
        <v>2006</v>
      </c>
      <c r="D33" t="s">
        <v>22</v>
      </c>
    </row>
    <row r="34" spans="1:4" x14ac:dyDescent="0.3">
      <c r="A34" t="s">
        <v>21</v>
      </c>
      <c r="B34">
        <v>-14524</v>
      </c>
      <c r="C34">
        <v>2007</v>
      </c>
      <c r="D34" t="s">
        <v>22</v>
      </c>
    </row>
    <row r="35" spans="1:4" x14ac:dyDescent="0.3">
      <c r="A35" t="s">
        <v>21</v>
      </c>
      <c r="B35">
        <v>-16920</v>
      </c>
      <c r="C35">
        <v>2008</v>
      </c>
      <c r="D35" t="s">
        <v>22</v>
      </c>
    </row>
    <row r="36" spans="1:4" x14ac:dyDescent="0.3">
      <c r="A36" t="s">
        <v>21</v>
      </c>
      <c r="B36">
        <v>-14855</v>
      </c>
      <c r="C36">
        <v>2009</v>
      </c>
      <c r="D36" t="s">
        <v>22</v>
      </c>
    </row>
    <row r="37" spans="1:4" x14ac:dyDescent="0.3">
      <c r="A37" t="s">
        <v>21</v>
      </c>
      <c r="B37">
        <v>-13539</v>
      </c>
      <c r="C37">
        <v>2010</v>
      </c>
      <c r="D37" t="s">
        <v>22</v>
      </c>
    </row>
    <row r="38" spans="1:4" x14ac:dyDescent="0.3">
      <c r="A38" t="s">
        <v>21</v>
      </c>
      <c r="B38">
        <v>-14023</v>
      </c>
      <c r="C38">
        <v>2011</v>
      </c>
      <c r="D38" t="s">
        <v>22</v>
      </c>
    </row>
    <row r="39" spans="1:4" x14ac:dyDescent="0.3">
      <c r="A39" t="s">
        <v>21</v>
      </c>
      <c r="B39">
        <v>-18986</v>
      </c>
      <c r="C39">
        <v>2012</v>
      </c>
      <c r="D39" t="s">
        <v>22</v>
      </c>
    </row>
    <row r="40" spans="1:4" x14ac:dyDescent="0.3">
      <c r="A40" t="s">
        <v>21</v>
      </c>
      <c r="B40">
        <v>-16638</v>
      </c>
      <c r="C40">
        <v>2013</v>
      </c>
      <c r="D40" t="s">
        <v>22</v>
      </c>
    </row>
    <row r="41" spans="1:4" x14ac:dyDescent="0.3">
      <c r="A41" t="s">
        <v>21</v>
      </c>
      <c r="B41">
        <v>-15716</v>
      </c>
      <c r="C41">
        <v>2014</v>
      </c>
      <c r="D41" t="s">
        <v>22</v>
      </c>
    </row>
    <row r="42" spans="1:4" x14ac:dyDescent="0.3">
      <c r="A42" t="s">
        <v>21</v>
      </c>
      <c r="B42">
        <v>-15089</v>
      </c>
      <c r="C42">
        <v>2015</v>
      </c>
      <c r="D42" t="s">
        <v>22</v>
      </c>
    </row>
    <row r="43" spans="1:4" x14ac:dyDescent="0.3">
      <c r="A43" t="s">
        <v>21</v>
      </c>
      <c r="B43">
        <v>-14178</v>
      </c>
      <c r="C43">
        <v>2016</v>
      </c>
      <c r="D43" t="s">
        <v>22</v>
      </c>
    </row>
    <row r="44" spans="1:4" x14ac:dyDescent="0.3">
      <c r="A44" t="s">
        <v>21</v>
      </c>
      <c r="B44">
        <v>-14593</v>
      </c>
      <c r="C44">
        <v>2017</v>
      </c>
      <c r="D44" t="s">
        <v>22</v>
      </c>
    </row>
    <row r="45" spans="1:4" x14ac:dyDescent="0.3">
      <c r="A45" t="s">
        <v>21</v>
      </c>
      <c r="B45">
        <v>-12916</v>
      </c>
      <c r="C45">
        <v>2018</v>
      </c>
      <c r="D45" t="s">
        <v>22</v>
      </c>
    </row>
    <row r="46" spans="1:4" x14ac:dyDescent="0.3">
      <c r="A46" t="s">
        <v>21</v>
      </c>
      <c r="B46">
        <v>-11858</v>
      </c>
      <c r="C46">
        <v>2019</v>
      </c>
      <c r="D46" t="s">
        <v>22</v>
      </c>
    </row>
    <row r="47" spans="1:4" x14ac:dyDescent="0.3">
      <c r="A47" t="s">
        <v>21</v>
      </c>
      <c r="B47">
        <v>-14648</v>
      </c>
      <c r="C47">
        <v>2020</v>
      </c>
      <c r="D47" t="s">
        <v>22</v>
      </c>
    </row>
    <row r="48" spans="1:4" x14ac:dyDescent="0.3">
      <c r="A48" t="s">
        <v>21</v>
      </c>
      <c r="B48">
        <v>-16558</v>
      </c>
      <c r="C48">
        <v>2021</v>
      </c>
      <c r="D48" t="s">
        <v>22</v>
      </c>
    </row>
    <row r="49" spans="1:4" x14ac:dyDescent="0.3">
      <c r="A49" t="s">
        <v>21</v>
      </c>
      <c r="B49">
        <v>-27833</v>
      </c>
      <c r="C49">
        <v>2022</v>
      </c>
      <c r="D49" t="s">
        <v>22</v>
      </c>
    </row>
    <row r="50" spans="1:4" x14ac:dyDescent="0.3">
      <c r="A50" t="s">
        <v>21</v>
      </c>
      <c r="B50">
        <v>-25272</v>
      </c>
      <c r="C50">
        <v>2023</v>
      </c>
      <c r="D50" t="s">
        <v>22</v>
      </c>
    </row>
    <row r="51" spans="1:4" x14ac:dyDescent="0.3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A97"/>
  <sheetViews>
    <sheetView topLeftCell="B1" workbookViewId="0">
      <selection activeCell="I2" sqref="I2:AA6"/>
    </sheetView>
  </sheetViews>
  <sheetFormatPr defaultRowHeight="14.4" x14ac:dyDescent="0.3"/>
  <cols>
    <col min="1" max="1" width="42.88671875" bestFit="1" customWidth="1"/>
    <col min="2" max="2" width="9.33203125" customWidth="1"/>
    <col min="9" max="9" width="11.44140625" customWidth="1"/>
  </cols>
  <sheetData>
    <row r="1" spans="1:27" x14ac:dyDescent="0.3">
      <c r="A1" t="s">
        <v>24</v>
      </c>
      <c r="B1" t="s">
        <v>1</v>
      </c>
      <c r="C1" t="s">
        <v>2</v>
      </c>
      <c r="D1" t="s">
        <v>3</v>
      </c>
    </row>
    <row r="2" spans="1:27" x14ac:dyDescent="0.3">
      <c r="A2" t="s">
        <v>4</v>
      </c>
      <c r="B2">
        <v>75.856999999999999</v>
      </c>
      <c r="C2">
        <v>2000</v>
      </c>
      <c r="D2" t="s">
        <v>26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</row>
    <row r="3" spans="1:27" x14ac:dyDescent="0.3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 t="shared" ref="J3:S6" si="0">SUMIFS($B:$B,$A:$A,$I3,$C:$C,J$2)</f>
        <v>62.594999999999999</v>
      </c>
      <c r="K3" s="2">
        <f t="shared" si="0"/>
        <v>71.436000000000007</v>
      </c>
      <c r="L3" s="2">
        <f t="shared" si="0"/>
        <v>46.113999999999997</v>
      </c>
      <c r="M3" s="2">
        <f t="shared" si="0"/>
        <v>35.026000000000003</v>
      </c>
      <c r="N3" s="2">
        <f t="shared" si="0"/>
        <v>25.3</v>
      </c>
      <c r="O3" s="2">
        <f t="shared" si="0"/>
        <v>44.177999999999997</v>
      </c>
      <c r="P3" s="2">
        <f t="shared" si="0"/>
        <v>53.131999999999998</v>
      </c>
      <c r="Q3" s="2">
        <f t="shared" si="0"/>
        <v>38.640999999999998</v>
      </c>
      <c r="R3" s="2">
        <f t="shared" si="0"/>
        <v>42.912999999999997</v>
      </c>
      <c r="S3" s="2">
        <f t="shared" si="0"/>
        <v>49.125</v>
      </c>
      <c r="T3" s="2">
        <f t="shared" ref="T3:AA6" si="1">SUMIFS($B:$B,$A:$A,$I3,$C:$C,T$2)</f>
        <v>35.423000000000002</v>
      </c>
      <c r="U3" s="2">
        <f t="shared" si="1"/>
        <v>44.04</v>
      </c>
      <c r="V3" s="2">
        <f t="shared" si="1"/>
        <v>36.701999999999998</v>
      </c>
      <c r="W3" s="2">
        <f t="shared" si="1"/>
        <v>14.217000000000001</v>
      </c>
      <c r="X3" s="2">
        <f t="shared" si="1"/>
        <v>6.4909999999999997</v>
      </c>
      <c r="Y3" s="2">
        <f t="shared" si="1"/>
        <v>7.1749999999999998</v>
      </c>
      <c r="Z3" s="2">
        <f t="shared" si="1"/>
        <v>8.9670000000000005</v>
      </c>
      <c r="AA3" s="2">
        <f t="shared" si="1"/>
        <v>5.43</v>
      </c>
    </row>
    <row r="4" spans="1:27" x14ac:dyDescent="0.3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si="0"/>
        <v>14.491</v>
      </c>
      <c r="K4" s="2">
        <f t="shared" si="0"/>
        <v>13.48</v>
      </c>
      <c r="L4" s="2">
        <f t="shared" si="0"/>
        <v>12.941000000000001</v>
      </c>
      <c r="M4" s="2">
        <f t="shared" si="0"/>
        <v>12.904999999999999</v>
      </c>
      <c r="N4" s="2">
        <f t="shared" si="0"/>
        <v>11.218</v>
      </c>
      <c r="O4" s="2">
        <f t="shared" si="0"/>
        <v>10.52</v>
      </c>
      <c r="P4" s="2">
        <f t="shared" si="0"/>
        <v>10.917</v>
      </c>
      <c r="Q4" s="2">
        <f t="shared" si="0"/>
        <v>9.4359999999999999</v>
      </c>
      <c r="R4" s="2">
        <f t="shared" si="0"/>
        <v>9.9710000000000001</v>
      </c>
      <c r="S4" s="2">
        <f t="shared" si="0"/>
        <v>11.891999999999999</v>
      </c>
      <c r="T4" s="2">
        <f t="shared" si="1"/>
        <v>11.385999999999999</v>
      </c>
      <c r="U4" s="2">
        <f t="shared" si="1"/>
        <v>10.512</v>
      </c>
      <c r="V4" s="2">
        <f t="shared" si="1"/>
        <v>9.5120000000000005</v>
      </c>
      <c r="W4" s="2">
        <f t="shared" si="1"/>
        <v>8.1780000000000008</v>
      </c>
      <c r="X4" s="2">
        <f t="shared" si="1"/>
        <v>6.718</v>
      </c>
      <c r="Y4" s="2">
        <f t="shared" si="1"/>
        <v>6.3220000000000001</v>
      </c>
      <c r="Z4" s="2">
        <f t="shared" si="1"/>
        <v>6.7210000000000001</v>
      </c>
      <c r="AA4" s="2">
        <f t="shared" si="1"/>
        <v>6.24</v>
      </c>
    </row>
    <row r="5" spans="1:27" x14ac:dyDescent="0.3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0"/>
        <v>32.406999999999996</v>
      </c>
      <c r="K5" s="2">
        <f t="shared" si="0"/>
        <v>32.332999999999998</v>
      </c>
      <c r="L5" s="2">
        <f t="shared" si="0"/>
        <v>42.374000000000002</v>
      </c>
      <c r="M5" s="2">
        <f t="shared" si="0"/>
        <v>38.268000000000001</v>
      </c>
      <c r="N5" s="2">
        <f t="shared" si="0"/>
        <v>34.341999999999999</v>
      </c>
      <c r="O5" s="2">
        <f t="shared" si="0"/>
        <v>30.934000000000001</v>
      </c>
      <c r="P5" s="2">
        <f t="shared" si="0"/>
        <v>26.295999999999999</v>
      </c>
      <c r="Q5" s="2">
        <f t="shared" si="0"/>
        <v>20.146999999999998</v>
      </c>
      <c r="R5" s="2">
        <f t="shared" si="0"/>
        <v>16.512</v>
      </c>
      <c r="S5" s="2">
        <f t="shared" si="0"/>
        <v>19.401</v>
      </c>
      <c r="T5" s="2">
        <f t="shared" si="1"/>
        <v>19.056999999999999</v>
      </c>
      <c r="U5" s="2">
        <f t="shared" si="1"/>
        <v>23.382999999999999</v>
      </c>
      <c r="V5" s="2">
        <f t="shared" si="1"/>
        <v>21.161999999999999</v>
      </c>
      <c r="W5" s="2">
        <f t="shared" si="1"/>
        <v>30.029</v>
      </c>
      <c r="X5" s="2">
        <f t="shared" si="1"/>
        <v>25.106999999999999</v>
      </c>
      <c r="Y5" s="2">
        <f t="shared" si="1"/>
        <v>25.800999999999998</v>
      </c>
      <c r="Z5" s="2">
        <f t="shared" si="1"/>
        <v>32.043999999999997</v>
      </c>
      <c r="AA5" s="2">
        <f t="shared" si="1"/>
        <v>24.222999999999999</v>
      </c>
    </row>
    <row r="6" spans="1:27" x14ac:dyDescent="0.3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0"/>
        <v>0.96699999999999997</v>
      </c>
      <c r="K6" s="2">
        <f t="shared" si="0"/>
        <v>1.1870000000000001</v>
      </c>
      <c r="L6" s="2">
        <f t="shared" si="0"/>
        <v>1.2589999999999999</v>
      </c>
      <c r="M6" s="2">
        <f t="shared" si="0"/>
        <v>1.2250000000000001</v>
      </c>
      <c r="N6" s="2">
        <f t="shared" si="0"/>
        <v>0.66800000000000004</v>
      </c>
      <c r="O6" s="2">
        <f t="shared" si="0"/>
        <v>0.748</v>
      </c>
      <c r="P6" s="2">
        <f t="shared" si="0"/>
        <v>0.67400000000000004</v>
      </c>
      <c r="Q6" s="2">
        <f t="shared" si="0"/>
        <v>0.76600000000000001</v>
      </c>
      <c r="R6" s="2">
        <f t="shared" si="0"/>
        <v>0.78300000000000003</v>
      </c>
      <c r="S6" s="2">
        <f t="shared" si="0"/>
        <v>0.95799999999999996</v>
      </c>
      <c r="T6" s="2">
        <f t="shared" si="1"/>
        <v>0.88100000000000001</v>
      </c>
      <c r="U6" s="2">
        <f t="shared" si="1"/>
        <v>0.97</v>
      </c>
      <c r="V6" s="2">
        <f t="shared" si="1"/>
        <v>1.3839999999999999</v>
      </c>
      <c r="W6" s="2">
        <f t="shared" si="1"/>
        <v>1.3080000000000001</v>
      </c>
      <c r="X6" s="2">
        <f t="shared" si="1"/>
        <v>1.5760000000000001</v>
      </c>
      <c r="Y6" s="2">
        <f t="shared" si="1"/>
        <v>1.323</v>
      </c>
      <c r="Z6" s="2">
        <f t="shared" si="1"/>
        <v>1.3180000000000001</v>
      </c>
      <c r="AA6" s="2">
        <f t="shared" si="1"/>
        <v>1.22</v>
      </c>
    </row>
    <row r="7" spans="1:27" x14ac:dyDescent="0.3">
      <c r="A7" t="s">
        <v>4</v>
      </c>
      <c r="B7">
        <v>73.171999999999997</v>
      </c>
      <c r="C7">
        <v>2005</v>
      </c>
      <c r="D7" t="s">
        <v>26</v>
      </c>
    </row>
    <row r="8" spans="1:27" x14ac:dyDescent="0.3">
      <c r="A8" t="s">
        <v>4</v>
      </c>
      <c r="B8">
        <v>62.594999999999999</v>
      </c>
      <c r="C8">
        <v>2006</v>
      </c>
      <c r="D8" t="s">
        <v>26</v>
      </c>
    </row>
    <row r="9" spans="1:27" x14ac:dyDescent="0.3">
      <c r="A9" t="s">
        <v>4</v>
      </c>
      <c r="B9">
        <v>71.436000000000007</v>
      </c>
      <c r="C9">
        <v>2007</v>
      </c>
      <c r="D9" t="s">
        <v>26</v>
      </c>
    </row>
    <row r="10" spans="1:27" x14ac:dyDescent="0.3">
      <c r="A10" t="s">
        <v>4</v>
      </c>
      <c r="B10">
        <v>46.113999999999997</v>
      </c>
      <c r="C10">
        <v>2008</v>
      </c>
      <c r="D10" t="s">
        <v>26</v>
      </c>
    </row>
    <row r="11" spans="1:27" x14ac:dyDescent="0.3">
      <c r="A11" t="s">
        <v>4</v>
      </c>
      <c r="B11">
        <v>35.026000000000003</v>
      </c>
      <c r="C11">
        <v>2009</v>
      </c>
      <c r="D11" t="s">
        <v>26</v>
      </c>
    </row>
    <row r="12" spans="1:27" x14ac:dyDescent="0.3">
      <c r="A12" t="s">
        <v>4</v>
      </c>
      <c r="B12">
        <v>25.3</v>
      </c>
      <c r="C12">
        <v>2010</v>
      </c>
      <c r="D12" t="s">
        <v>26</v>
      </c>
    </row>
    <row r="13" spans="1:27" x14ac:dyDescent="0.3">
      <c r="A13" t="s">
        <v>4</v>
      </c>
      <c r="B13">
        <v>44.177999999999997</v>
      </c>
      <c r="C13">
        <v>2011</v>
      </c>
      <c r="D13" t="s">
        <v>26</v>
      </c>
    </row>
    <row r="14" spans="1:27" x14ac:dyDescent="0.3">
      <c r="A14" t="s">
        <v>4</v>
      </c>
      <c r="B14">
        <v>53.131999999999998</v>
      </c>
      <c r="C14">
        <v>2012</v>
      </c>
      <c r="D14" t="s">
        <v>26</v>
      </c>
    </row>
    <row r="15" spans="1:27" x14ac:dyDescent="0.3">
      <c r="A15" t="s">
        <v>4</v>
      </c>
      <c r="B15">
        <v>38.640999999999998</v>
      </c>
      <c r="C15">
        <v>2013</v>
      </c>
      <c r="D15" t="s">
        <v>26</v>
      </c>
    </row>
    <row r="16" spans="1:27" x14ac:dyDescent="0.3">
      <c r="A16" t="s">
        <v>4</v>
      </c>
      <c r="B16">
        <v>42.912999999999997</v>
      </c>
      <c r="C16">
        <v>2014</v>
      </c>
      <c r="D16" t="s">
        <v>26</v>
      </c>
    </row>
    <row r="17" spans="1:4" x14ac:dyDescent="0.3">
      <c r="A17" t="s">
        <v>4</v>
      </c>
      <c r="B17">
        <v>49.125</v>
      </c>
      <c r="C17">
        <v>2015</v>
      </c>
      <c r="D17" t="s">
        <v>26</v>
      </c>
    </row>
    <row r="18" spans="1:4" x14ac:dyDescent="0.3">
      <c r="A18" t="s">
        <v>4</v>
      </c>
      <c r="B18">
        <v>35.423000000000002</v>
      </c>
      <c r="C18">
        <v>2016</v>
      </c>
      <c r="D18" t="s">
        <v>26</v>
      </c>
    </row>
    <row r="19" spans="1:4" x14ac:dyDescent="0.3">
      <c r="A19" t="s">
        <v>4</v>
      </c>
      <c r="B19">
        <v>44.04</v>
      </c>
      <c r="C19">
        <v>2017</v>
      </c>
      <c r="D19" t="s">
        <v>26</v>
      </c>
    </row>
    <row r="20" spans="1:4" x14ac:dyDescent="0.3">
      <c r="A20" t="s">
        <v>4</v>
      </c>
      <c r="B20">
        <v>36.701999999999998</v>
      </c>
      <c r="C20">
        <v>2018</v>
      </c>
      <c r="D20" t="s">
        <v>26</v>
      </c>
    </row>
    <row r="21" spans="1:4" x14ac:dyDescent="0.3">
      <c r="A21" t="s">
        <v>4</v>
      </c>
      <c r="B21">
        <v>14.217000000000001</v>
      </c>
      <c r="C21">
        <v>2019</v>
      </c>
      <c r="D21" t="s">
        <v>26</v>
      </c>
    </row>
    <row r="22" spans="1:4" x14ac:dyDescent="0.3">
      <c r="A22" t="s">
        <v>4</v>
      </c>
      <c r="B22">
        <v>6.4909999999999997</v>
      </c>
      <c r="C22">
        <v>2020</v>
      </c>
      <c r="D22" t="s">
        <v>26</v>
      </c>
    </row>
    <row r="23" spans="1:4" x14ac:dyDescent="0.3">
      <c r="A23" t="s">
        <v>4</v>
      </c>
      <c r="B23">
        <v>7.1749999999999998</v>
      </c>
      <c r="C23">
        <v>2021</v>
      </c>
      <c r="D23" t="s">
        <v>26</v>
      </c>
    </row>
    <row r="24" spans="1:4" x14ac:dyDescent="0.3">
      <c r="A24" t="s">
        <v>4</v>
      </c>
      <c r="B24">
        <v>8.9670000000000005</v>
      </c>
      <c r="C24">
        <v>2022</v>
      </c>
      <c r="D24" t="s">
        <v>26</v>
      </c>
    </row>
    <row r="25" spans="1:4" x14ac:dyDescent="0.3">
      <c r="A25" t="s">
        <v>4</v>
      </c>
      <c r="B25">
        <v>5.43</v>
      </c>
      <c r="C25">
        <v>2023</v>
      </c>
      <c r="D25" t="s">
        <v>26</v>
      </c>
    </row>
    <row r="26" spans="1:4" x14ac:dyDescent="0.3">
      <c r="A26" t="s">
        <v>6</v>
      </c>
      <c r="B26">
        <v>14.377000000000001</v>
      </c>
      <c r="C26">
        <v>2000</v>
      </c>
      <c r="D26" t="s">
        <v>26</v>
      </c>
    </row>
    <row r="27" spans="1:4" x14ac:dyDescent="0.3">
      <c r="A27" t="s">
        <v>6</v>
      </c>
      <c r="B27">
        <v>16.364999999999998</v>
      </c>
      <c r="C27">
        <v>2001</v>
      </c>
      <c r="D27" t="s">
        <v>26</v>
      </c>
    </row>
    <row r="28" spans="1:4" x14ac:dyDescent="0.3">
      <c r="A28" t="s">
        <v>6</v>
      </c>
      <c r="B28">
        <v>18.884</v>
      </c>
      <c r="C28">
        <v>2002</v>
      </c>
      <c r="D28" t="s">
        <v>26</v>
      </c>
    </row>
    <row r="29" spans="1:4" x14ac:dyDescent="0.3">
      <c r="A29" t="s">
        <v>6</v>
      </c>
      <c r="B29">
        <v>15.645</v>
      </c>
      <c r="C29">
        <v>2003</v>
      </c>
      <c r="D29" t="s">
        <v>26</v>
      </c>
    </row>
    <row r="30" spans="1:4" x14ac:dyDescent="0.3">
      <c r="A30" t="s">
        <v>6</v>
      </c>
      <c r="B30">
        <v>15.881</v>
      </c>
      <c r="C30">
        <v>2004</v>
      </c>
      <c r="D30" t="s">
        <v>26</v>
      </c>
    </row>
    <row r="31" spans="1:4" x14ac:dyDescent="0.3">
      <c r="A31" t="s">
        <v>6</v>
      </c>
      <c r="B31">
        <v>17.149999999999999</v>
      </c>
      <c r="C31">
        <v>2005</v>
      </c>
      <c r="D31" t="s">
        <v>26</v>
      </c>
    </row>
    <row r="32" spans="1:4" x14ac:dyDescent="0.3">
      <c r="A32" t="s">
        <v>6</v>
      </c>
      <c r="B32">
        <v>14.491</v>
      </c>
      <c r="C32">
        <v>2006</v>
      </c>
      <c r="D32" t="s">
        <v>26</v>
      </c>
    </row>
    <row r="33" spans="1:4" x14ac:dyDescent="0.3">
      <c r="A33" t="s">
        <v>6</v>
      </c>
      <c r="B33">
        <v>13.48</v>
      </c>
      <c r="C33">
        <v>2007</v>
      </c>
      <c r="D33" t="s">
        <v>26</v>
      </c>
    </row>
    <row r="34" spans="1:4" x14ac:dyDescent="0.3">
      <c r="A34" t="s">
        <v>6</v>
      </c>
      <c r="B34">
        <v>12.941000000000001</v>
      </c>
      <c r="C34">
        <v>2008</v>
      </c>
      <c r="D34" t="s">
        <v>26</v>
      </c>
    </row>
    <row r="35" spans="1:4" x14ac:dyDescent="0.3">
      <c r="A35" t="s">
        <v>6</v>
      </c>
      <c r="B35">
        <v>12.904999999999999</v>
      </c>
      <c r="C35">
        <v>2009</v>
      </c>
      <c r="D35" t="s">
        <v>26</v>
      </c>
    </row>
    <row r="36" spans="1:4" x14ac:dyDescent="0.3">
      <c r="A36" t="s">
        <v>6</v>
      </c>
      <c r="B36">
        <v>11.218</v>
      </c>
      <c r="C36">
        <v>2010</v>
      </c>
      <c r="D36" t="s">
        <v>26</v>
      </c>
    </row>
    <row r="37" spans="1:4" x14ac:dyDescent="0.3">
      <c r="A37" t="s">
        <v>6</v>
      </c>
      <c r="B37">
        <v>10.52</v>
      </c>
      <c r="C37">
        <v>2011</v>
      </c>
      <c r="D37" t="s">
        <v>26</v>
      </c>
    </row>
    <row r="38" spans="1:4" x14ac:dyDescent="0.3">
      <c r="A38" t="s">
        <v>6</v>
      </c>
      <c r="B38">
        <v>10.917</v>
      </c>
      <c r="C38">
        <v>2012</v>
      </c>
      <c r="D38" t="s">
        <v>26</v>
      </c>
    </row>
    <row r="39" spans="1:4" x14ac:dyDescent="0.3">
      <c r="A39" t="s">
        <v>6</v>
      </c>
      <c r="B39">
        <v>9.4359999999999999</v>
      </c>
      <c r="C39">
        <v>2013</v>
      </c>
      <c r="D39" t="s">
        <v>26</v>
      </c>
    </row>
    <row r="40" spans="1:4" x14ac:dyDescent="0.3">
      <c r="A40" t="s">
        <v>6</v>
      </c>
      <c r="B40">
        <v>9.9710000000000001</v>
      </c>
      <c r="C40">
        <v>2014</v>
      </c>
      <c r="D40" t="s">
        <v>26</v>
      </c>
    </row>
    <row r="41" spans="1:4" x14ac:dyDescent="0.3">
      <c r="A41" t="s">
        <v>6</v>
      </c>
      <c r="B41">
        <v>11.891999999999999</v>
      </c>
      <c r="C41">
        <v>2015</v>
      </c>
      <c r="D41" t="s">
        <v>26</v>
      </c>
    </row>
    <row r="42" spans="1:4" x14ac:dyDescent="0.3">
      <c r="A42" t="s">
        <v>6</v>
      </c>
      <c r="B42">
        <v>11.385999999999999</v>
      </c>
      <c r="C42">
        <v>2016</v>
      </c>
      <c r="D42" t="s">
        <v>26</v>
      </c>
    </row>
    <row r="43" spans="1:4" x14ac:dyDescent="0.3">
      <c r="A43" t="s">
        <v>6</v>
      </c>
      <c r="B43">
        <v>10.512</v>
      </c>
      <c r="C43">
        <v>2017</v>
      </c>
      <c r="D43" t="s">
        <v>26</v>
      </c>
    </row>
    <row r="44" spans="1:4" x14ac:dyDescent="0.3">
      <c r="A44" t="s">
        <v>6</v>
      </c>
      <c r="B44">
        <v>9.5120000000000005</v>
      </c>
      <c r="C44">
        <v>2018</v>
      </c>
      <c r="D44" t="s">
        <v>26</v>
      </c>
    </row>
    <row r="45" spans="1:4" x14ac:dyDescent="0.3">
      <c r="A45" t="s">
        <v>6</v>
      </c>
      <c r="B45">
        <v>8.1780000000000008</v>
      </c>
      <c r="C45">
        <v>2019</v>
      </c>
      <c r="D45" t="s">
        <v>26</v>
      </c>
    </row>
    <row r="46" spans="1:4" x14ac:dyDescent="0.3">
      <c r="A46" t="s">
        <v>6</v>
      </c>
      <c r="B46">
        <v>6.718</v>
      </c>
      <c r="C46">
        <v>2020</v>
      </c>
      <c r="D46" t="s">
        <v>26</v>
      </c>
    </row>
    <row r="47" spans="1:4" x14ac:dyDescent="0.3">
      <c r="A47" t="s">
        <v>6</v>
      </c>
      <c r="B47">
        <v>6.3220000000000001</v>
      </c>
      <c r="C47">
        <v>2021</v>
      </c>
      <c r="D47" t="s">
        <v>26</v>
      </c>
    </row>
    <row r="48" spans="1:4" x14ac:dyDescent="0.3">
      <c r="A48" t="s">
        <v>6</v>
      </c>
      <c r="B48">
        <v>6.7210000000000001</v>
      </c>
      <c r="C48">
        <v>2022</v>
      </c>
      <c r="D48" t="s">
        <v>26</v>
      </c>
    </row>
    <row r="49" spans="1:4" x14ac:dyDescent="0.3">
      <c r="A49" t="s">
        <v>6</v>
      </c>
      <c r="B49">
        <v>6.24</v>
      </c>
      <c r="C49">
        <v>2023</v>
      </c>
      <c r="D49" t="s">
        <v>26</v>
      </c>
    </row>
    <row r="50" spans="1:4" x14ac:dyDescent="0.3">
      <c r="A50" t="s">
        <v>7</v>
      </c>
      <c r="B50">
        <v>6.3049999999999997</v>
      </c>
      <c r="C50">
        <v>2000</v>
      </c>
      <c r="D50" t="s">
        <v>26</v>
      </c>
    </row>
    <row r="51" spans="1:4" x14ac:dyDescent="0.3">
      <c r="A51" t="s">
        <v>7</v>
      </c>
      <c r="B51">
        <v>6.5990000000000002</v>
      </c>
      <c r="C51">
        <v>2001</v>
      </c>
      <c r="D51" t="s">
        <v>26</v>
      </c>
    </row>
    <row r="52" spans="1:4" x14ac:dyDescent="0.3">
      <c r="A52" t="s">
        <v>7</v>
      </c>
      <c r="B52">
        <v>10.571999999999999</v>
      </c>
      <c r="C52">
        <v>2002</v>
      </c>
      <c r="D52" t="s">
        <v>26</v>
      </c>
    </row>
    <row r="53" spans="1:4" x14ac:dyDescent="0.3">
      <c r="A53" t="s">
        <v>7</v>
      </c>
      <c r="B53">
        <v>12.510999999999999</v>
      </c>
      <c r="C53">
        <v>2003</v>
      </c>
      <c r="D53" t="s">
        <v>26</v>
      </c>
    </row>
    <row r="54" spans="1:4" x14ac:dyDescent="0.3">
      <c r="A54" t="s">
        <v>7</v>
      </c>
      <c r="B54">
        <v>18.088000000000001</v>
      </c>
      <c r="C54">
        <v>2004</v>
      </c>
      <c r="D54" t="s">
        <v>26</v>
      </c>
    </row>
    <row r="55" spans="1:4" x14ac:dyDescent="0.3">
      <c r="A55" t="s">
        <v>7</v>
      </c>
      <c r="B55">
        <v>25.361999999999998</v>
      </c>
      <c r="C55">
        <v>2005</v>
      </c>
      <c r="D55" t="s">
        <v>26</v>
      </c>
    </row>
    <row r="56" spans="1:4" x14ac:dyDescent="0.3">
      <c r="A56" t="s">
        <v>7</v>
      </c>
      <c r="B56">
        <v>32.406999999999996</v>
      </c>
      <c r="C56">
        <v>2006</v>
      </c>
      <c r="D56" t="s">
        <v>26</v>
      </c>
    </row>
    <row r="57" spans="1:4" x14ac:dyDescent="0.3">
      <c r="A57" t="s">
        <v>7</v>
      </c>
      <c r="B57">
        <v>32.332999999999998</v>
      </c>
      <c r="C57">
        <v>2007</v>
      </c>
      <c r="D57" t="s">
        <v>26</v>
      </c>
    </row>
    <row r="58" spans="1:4" x14ac:dyDescent="0.3">
      <c r="A58" t="s">
        <v>7</v>
      </c>
      <c r="B58">
        <v>42.374000000000002</v>
      </c>
      <c r="C58">
        <v>2008</v>
      </c>
      <c r="D58" t="s">
        <v>26</v>
      </c>
    </row>
    <row r="59" spans="1:4" x14ac:dyDescent="0.3">
      <c r="A59" t="s">
        <v>7</v>
      </c>
      <c r="B59">
        <v>38.268000000000001</v>
      </c>
      <c r="C59">
        <v>2009</v>
      </c>
      <c r="D59" t="s">
        <v>26</v>
      </c>
    </row>
    <row r="60" spans="1:4" x14ac:dyDescent="0.3">
      <c r="A60" t="s">
        <v>7</v>
      </c>
      <c r="B60">
        <v>34.341999999999999</v>
      </c>
      <c r="C60">
        <v>2010</v>
      </c>
      <c r="D60" t="s">
        <v>26</v>
      </c>
    </row>
    <row r="61" spans="1:4" x14ac:dyDescent="0.3">
      <c r="A61" t="s">
        <v>7</v>
      </c>
      <c r="B61">
        <v>30.934000000000001</v>
      </c>
      <c r="C61">
        <v>2011</v>
      </c>
      <c r="D61" t="s">
        <v>26</v>
      </c>
    </row>
    <row r="62" spans="1:4" x14ac:dyDescent="0.3">
      <c r="A62" t="s">
        <v>7</v>
      </c>
      <c r="B62">
        <v>26.295999999999999</v>
      </c>
      <c r="C62">
        <v>2012</v>
      </c>
      <c r="D62" t="s">
        <v>26</v>
      </c>
    </row>
    <row r="63" spans="1:4" x14ac:dyDescent="0.3">
      <c r="A63" t="s">
        <v>7</v>
      </c>
      <c r="B63">
        <v>20.146999999999998</v>
      </c>
      <c r="C63">
        <v>2013</v>
      </c>
      <c r="D63" t="s">
        <v>26</v>
      </c>
    </row>
    <row r="64" spans="1:4" x14ac:dyDescent="0.3">
      <c r="A64" t="s">
        <v>7</v>
      </c>
      <c r="B64">
        <v>16.512</v>
      </c>
      <c r="C64">
        <v>2014</v>
      </c>
      <c r="D64" t="s">
        <v>26</v>
      </c>
    </row>
    <row r="65" spans="1:4" x14ac:dyDescent="0.3">
      <c r="A65" t="s">
        <v>7</v>
      </c>
      <c r="B65">
        <v>19.401</v>
      </c>
      <c r="C65">
        <v>2015</v>
      </c>
      <c r="D65" t="s">
        <v>26</v>
      </c>
    </row>
    <row r="66" spans="1:4" x14ac:dyDescent="0.3">
      <c r="A66" t="s">
        <v>7</v>
      </c>
      <c r="B66">
        <v>19.056999999999999</v>
      </c>
      <c r="C66">
        <v>2016</v>
      </c>
      <c r="D66" t="s">
        <v>26</v>
      </c>
    </row>
    <row r="67" spans="1:4" x14ac:dyDescent="0.3">
      <c r="A67" t="s">
        <v>7</v>
      </c>
      <c r="B67">
        <v>23.382999999999999</v>
      </c>
      <c r="C67">
        <v>2017</v>
      </c>
      <c r="D67" t="s">
        <v>26</v>
      </c>
    </row>
    <row r="68" spans="1:4" x14ac:dyDescent="0.3">
      <c r="A68" t="s">
        <v>7</v>
      </c>
      <c r="B68">
        <v>21.161999999999999</v>
      </c>
      <c r="C68">
        <v>2018</v>
      </c>
      <c r="D68" t="s">
        <v>26</v>
      </c>
    </row>
    <row r="69" spans="1:4" x14ac:dyDescent="0.3">
      <c r="A69" t="s">
        <v>7</v>
      </c>
      <c r="B69">
        <v>30.029</v>
      </c>
      <c r="C69">
        <v>2019</v>
      </c>
      <c r="D69" t="s">
        <v>26</v>
      </c>
    </row>
    <row r="70" spans="1:4" x14ac:dyDescent="0.3">
      <c r="A70" t="s">
        <v>7</v>
      </c>
      <c r="B70">
        <v>25.106999999999999</v>
      </c>
      <c r="C70">
        <v>2020</v>
      </c>
      <c r="D70" t="s">
        <v>26</v>
      </c>
    </row>
    <row r="71" spans="1:4" x14ac:dyDescent="0.3">
      <c r="A71" t="s">
        <v>7</v>
      </c>
      <c r="B71">
        <v>25.800999999999998</v>
      </c>
      <c r="C71">
        <v>2021</v>
      </c>
      <c r="D71" t="s">
        <v>26</v>
      </c>
    </row>
    <row r="72" spans="1:4" x14ac:dyDescent="0.3">
      <c r="A72" t="s">
        <v>7</v>
      </c>
      <c r="B72">
        <v>32.043999999999997</v>
      </c>
      <c r="C72">
        <v>2022</v>
      </c>
      <c r="D72" t="s">
        <v>26</v>
      </c>
    </row>
    <row r="73" spans="1:4" x14ac:dyDescent="0.3">
      <c r="A73" t="s">
        <v>7</v>
      </c>
      <c r="B73">
        <v>24.222999999999999</v>
      </c>
      <c r="C73">
        <v>2023</v>
      </c>
      <c r="D73" t="s">
        <v>26</v>
      </c>
    </row>
    <row r="74" spans="1:4" x14ac:dyDescent="0.3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3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3">
      <c r="A76" t="s">
        <v>25</v>
      </c>
      <c r="B76">
        <v>0.374</v>
      </c>
      <c r="C76">
        <v>2002</v>
      </c>
      <c r="D76" t="s">
        <v>26</v>
      </c>
    </row>
    <row r="77" spans="1:4" x14ac:dyDescent="0.3">
      <c r="A77" t="s">
        <v>25</v>
      </c>
      <c r="B77">
        <v>0.436</v>
      </c>
      <c r="C77">
        <v>2003</v>
      </c>
      <c r="D77" t="s">
        <v>26</v>
      </c>
    </row>
    <row r="78" spans="1:4" x14ac:dyDescent="0.3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3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3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3">
      <c r="A81" t="s">
        <v>25</v>
      </c>
      <c r="B81">
        <v>1.1870000000000001</v>
      </c>
      <c r="C81">
        <v>2007</v>
      </c>
      <c r="D81" t="s">
        <v>26</v>
      </c>
    </row>
    <row r="82" spans="1:4" x14ac:dyDescent="0.3">
      <c r="A82" t="s">
        <v>25</v>
      </c>
      <c r="B82">
        <v>1.2589999999999999</v>
      </c>
      <c r="C82">
        <v>2008</v>
      </c>
      <c r="D82" t="s">
        <v>26</v>
      </c>
    </row>
    <row r="83" spans="1:4" x14ac:dyDescent="0.3">
      <c r="A83" t="s">
        <v>25</v>
      </c>
      <c r="B83">
        <v>1.2250000000000001</v>
      </c>
      <c r="C83">
        <v>2009</v>
      </c>
      <c r="D83" t="s">
        <v>26</v>
      </c>
    </row>
    <row r="84" spans="1:4" x14ac:dyDescent="0.3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3">
      <c r="A85" t="s">
        <v>25</v>
      </c>
      <c r="B85">
        <v>0.748</v>
      </c>
      <c r="C85">
        <v>2011</v>
      </c>
      <c r="D85" t="s">
        <v>26</v>
      </c>
    </row>
    <row r="86" spans="1:4" x14ac:dyDescent="0.3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3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3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3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3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3">
      <c r="A91" t="s">
        <v>25</v>
      </c>
      <c r="B91">
        <v>0.97</v>
      </c>
      <c r="C91">
        <v>2017</v>
      </c>
      <c r="D91" t="s">
        <v>26</v>
      </c>
    </row>
    <row r="92" spans="1:4" x14ac:dyDescent="0.3">
      <c r="A92" t="s">
        <v>25</v>
      </c>
      <c r="B92">
        <v>1.3839999999999999</v>
      </c>
      <c r="C92">
        <v>2018</v>
      </c>
      <c r="D92" t="s">
        <v>26</v>
      </c>
    </row>
    <row r="93" spans="1:4" x14ac:dyDescent="0.3">
      <c r="A93" t="s">
        <v>25</v>
      </c>
      <c r="B93">
        <v>1.3080000000000001</v>
      </c>
      <c r="C93">
        <v>2019</v>
      </c>
      <c r="D93" t="s">
        <v>26</v>
      </c>
    </row>
    <row r="94" spans="1:4" x14ac:dyDescent="0.3">
      <c r="A94" t="s">
        <v>25</v>
      </c>
      <c r="B94">
        <v>1.5760000000000001</v>
      </c>
      <c r="C94">
        <v>2020</v>
      </c>
      <c r="D94" t="s">
        <v>26</v>
      </c>
    </row>
    <row r="95" spans="1:4" x14ac:dyDescent="0.3">
      <c r="A95" t="s">
        <v>25</v>
      </c>
      <c r="B95">
        <v>1.323</v>
      </c>
      <c r="C95">
        <v>2021</v>
      </c>
      <c r="D95" t="s">
        <v>26</v>
      </c>
    </row>
    <row r="96" spans="1:4" x14ac:dyDescent="0.3">
      <c r="A96" t="s">
        <v>25</v>
      </c>
      <c r="B96">
        <v>1.3180000000000001</v>
      </c>
      <c r="C96">
        <v>2022</v>
      </c>
      <c r="D96" t="s">
        <v>26</v>
      </c>
    </row>
    <row r="97" spans="1:4" x14ac:dyDescent="0.3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opLeftCell="A6" workbookViewId="0">
      <selection activeCell="G7" sqref="G7:G31"/>
    </sheetView>
  </sheetViews>
  <sheetFormatPr defaultRowHeight="14.4" x14ac:dyDescent="0.3"/>
  <cols>
    <col min="1" max="1" width="10.88671875" customWidth="1"/>
    <col min="2" max="2" width="12.6640625" customWidth="1"/>
    <col min="3" max="3" width="13.6640625" customWidth="1"/>
  </cols>
  <sheetData>
    <row r="1" spans="1:30" x14ac:dyDescent="0.3">
      <c r="A1" t="s">
        <v>27</v>
      </c>
    </row>
    <row r="2" spans="1:30" x14ac:dyDescent="0.3">
      <c r="A2" t="s">
        <v>28</v>
      </c>
    </row>
    <row r="4" spans="1:30" x14ac:dyDescent="0.3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3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3">
      <c r="A6">
        <v>1991</v>
      </c>
      <c r="B6">
        <v>140.583</v>
      </c>
      <c r="C6" t="s">
        <v>30</v>
      </c>
    </row>
    <row r="7" spans="1:30" x14ac:dyDescent="0.3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3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3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3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3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3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3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3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3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3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3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3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3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3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3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3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3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3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3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3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3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3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3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3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3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3">
      <c r="A32">
        <v>2017</v>
      </c>
      <c r="B32">
        <v>261.072</v>
      </c>
      <c r="C32" t="s">
        <v>30</v>
      </c>
    </row>
    <row r="33" spans="1:3" x14ac:dyDescent="0.3">
      <c r="A33">
        <v>2018</v>
      </c>
      <c r="B33">
        <v>259.95800000000003</v>
      </c>
      <c r="C33" t="s">
        <v>30</v>
      </c>
    </row>
    <row r="34" spans="1:3" x14ac:dyDescent="0.3">
      <c r="A34">
        <v>2019</v>
      </c>
      <c r="B34">
        <v>255.32900000000001</v>
      </c>
      <c r="C34" t="s">
        <v>30</v>
      </c>
    </row>
    <row r="35" spans="1:3" x14ac:dyDescent="0.3">
      <c r="A35">
        <v>2020</v>
      </c>
      <c r="B35">
        <v>241.02199999999999</v>
      </c>
      <c r="C35" t="s">
        <v>30</v>
      </c>
    </row>
    <row r="36" spans="1:3" x14ac:dyDescent="0.3">
      <c r="A36">
        <v>2021</v>
      </c>
      <c r="B36">
        <v>248.43600000000001</v>
      </c>
      <c r="C36" t="s">
        <v>30</v>
      </c>
    </row>
    <row r="37" spans="1:3" x14ac:dyDescent="0.3">
      <c r="A37">
        <v>2022</v>
      </c>
      <c r="B37">
        <v>247.52099999999999</v>
      </c>
      <c r="C37" t="s">
        <v>30</v>
      </c>
    </row>
    <row r="38" spans="1:3" x14ac:dyDescent="0.3">
      <c r="A38">
        <v>2023</v>
      </c>
      <c r="B38">
        <v>247.46</v>
      </c>
      <c r="C38" t="s">
        <v>30</v>
      </c>
    </row>
    <row r="39" spans="1:3" x14ac:dyDescent="0.3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4.4" x14ac:dyDescent="0.3"/>
  <cols>
    <col min="1" max="1" width="13.33203125" customWidth="1"/>
  </cols>
  <sheetData>
    <row r="2" spans="1:4" x14ac:dyDescent="0.3">
      <c r="A2" s="6" t="s">
        <v>32</v>
      </c>
      <c r="B2" s="6"/>
      <c r="C2" s="6"/>
      <c r="D2">
        <f>0.0036</f>
        <v>3.5999999999999999E-3</v>
      </c>
    </row>
    <row r="3" spans="1:4" x14ac:dyDescent="0.3">
      <c r="A3" t="s">
        <v>31</v>
      </c>
      <c r="B3" t="s">
        <v>22</v>
      </c>
    </row>
    <row r="4" spans="1:4" x14ac:dyDescent="0.3">
      <c r="A4">
        <v>15.5</v>
      </c>
      <c r="B4">
        <f>A4*(1/D2)</f>
        <v>4305.5555555555557</v>
      </c>
    </row>
    <row r="6" spans="1:4" x14ac:dyDescent="0.3">
      <c r="A6" t="s">
        <v>22</v>
      </c>
      <c r="B6" t="s">
        <v>31</v>
      </c>
    </row>
    <row r="7" spans="1:4" x14ac:dyDescent="0.3">
      <c r="A7" s="3">
        <v>3971</v>
      </c>
      <c r="B7">
        <f>A7*D2</f>
        <v>14.2956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B2676-8085-4D3C-98E7-5BF41F1AF8D5}">
  <dimension ref="A1:W49"/>
  <sheetViews>
    <sheetView topLeftCell="D1" workbookViewId="0">
      <selection activeCell="J46" sqref="J46"/>
    </sheetView>
  </sheetViews>
  <sheetFormatPr defaultRowHeight="14.4" x14ac:dyDescent="0.3"/>
  <cols>
    <col min="1" max="1" width="11.88671875" customWidth="1"/>
    <col min="2" max="11" width="7.6640625" customWidth="1"/>
    <col min="14" max="14" width="18.44140625" customWidth="1"/>
  </cols>
  <sheetData>
    <row r="1" spans="1:23" x14ac:dyDescent="0.3">
      <c r="A1" s="4" t="s">
        <v>34</v>
      </c>
      <c r="B1" s="4" t="s">
        <v>48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2025</v>
      </c>
      <c r="I1" s="4">
        <v>2030</v>
      </c>
      <c r="J1" s="4">
        <v>2040</v>
      </c>
      <c r="K1" s="4">
        <v>2050</v>
      </c>
    </row>
    <row r="2" spans="1:23" x14ac:dyDescent="0.3">
      <c r="A2" t="s">
        <v>35</v>
      </c>
      <c r="B2" t="s">
        <v>49</v>
      </c>
      <c r="C2">
        <v>6158.85</v>
      </c>
      <c r="D2">
        <v>9564.5999999999967</v>
      </c>
      <c r="E2">
        <v>13474.8</v>
      </c>
      <c r="F2">
        <v>13685.7</v>
      </c>
      <c r="G2">
        <v>16254.975000000009</v>
      </c>
      <c r="H2">
        <v>15159.150000000011</v>
      </c>
      <c r="I2">
        <v>17812.5</v>
      </c>
      <c r="J2">
        <v>18802.083333333321</v>
      </c>
      <c r="K2">
        <v>20991.164775831501</v>
      </c>
      <c r="O2" s="4">
        <v>2007</v>
      </c>
      <c r="P2" s="4">
        <v>2010</v>
      </c>
      <c r="Q2" s="4">
        <v>2014</v>
      </c>
      <c r="R2" s="4">
        <v>2018</v>
      </c>
      <c r="S2" s="4">
        <v>2022</v>
      </c>
      <c r="T2" s="4">
        <v>2025</v>
      </c>
      <c r="U2" s="4">
        <v>2030</v>
      </c>
      <c r="V2" s="4">
        <v>2040</v>
      </c>
      <c r="W2" s="4">
        <v>2050</v>
      </c>
    </row>
    <row r="3" spans="1:23" x14ac:dyDescent="0.3">
      <c r="A3" t="s">
        <v>35</v>
      </c>
      <c r="B3" t="s">
        <v>50</v>
      </c>
      <c r="C3">
        <v>82.118000000000009</v>
      </c>
      <c r="D3">
        <v>127.52799999999991</v>
      </c>
      <c r="E3">
        <v>179.66399999999999</v>
      </c>
      <c r="F3">
        <v>182.47599999999991</v>
      </c>
      <c r="G3">
        <v>216.73300000000009</v>
      </c>
      <c r="H3">
        <v>202.1220000000001</v>
      </c>
      <c r="I3">
        <v>237.50000000000011</v>
      </c>
      <c r="J3">
        <v>250.69444444444429</v>
      </c>
      <c r="K3">
        <v>279.88219701108659</v>
      </c>
      <c r="N3" t="s">
        <v>35</v>
      </c>
      <c r="O3">
        <f>SUMIFS($C:$C,$A:$A,N3,$B:$B,$N$19)</f>
        <v>0</v>
      </c>
      <c r="P3">
        <f>SUMIFS($D:$D,$A:$A,N3,$B:$B,$N$19)</f>
        <v>0</v>
      </c>
      <c r="Q3">
        <f>SUMIFS($E:$E,$A:$A,N3,$B:$B,$N$19)</f>
        <v>0</v>
      </c>
      <c r="R3">
        <f>SUMIFS($F:$F,$A:$A,N3,$B:$B,$N$19)</f>
        <v>0</v>
      </c>
      <c r="S3">
        <f>SUMIFS($G:$G,$A:$A,N3,$B:$B,$N$19)</f>
        <v>0</v>
      </c>
      <c r="T3">
        <f>SUMIFS($H:$H,$A:$A,N3,$B:$B,$N$19)</f>
        <v>0</v>
      </c>
      <c r="U3">
        <f>SUMIFS($I:$I,$A:$A,N3,$B:$B,$N$19)</f>
        <v>0</v>
      </c>
      <c r="V3">
        <f>SUMIFS($J:$J,$A:$A,N3,$B:$B,$N$19)</f>
        <v>0</v>
      </c>
      <c r="W3">
        <f>SUMIFS($K:$K,$A:$A,N3,$B:$B,$N$19)</f>
        <v>0</v>
      </c>
    </row>
    <row r="4" spans="1:23" x14ac:dyDescent="0.3">
      <c r="A4" t="s">
        <v>66</v>
      </c>
      <c r="B4" t="s">
        <v>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122.37718488486971</v>
      </c>
      <c r="N4" t="s">
        <v>36</v>
      </c>
      <c r="O4">
        <f t="shared" ref="O4:O15" si="0">SUMIFS($C:$C,$A:$A,N4,$B:$B,$N$19)</f>
        <v>0</v>
      </c>
      <c r="P4">
        <f t="shared" ref="P4:P15" si="1">SUMIFS($D:$D,$A:$A,N4,$B:$B,$N$19)</f>
        <v>0</v>
      </c>
      <c r="Q4">
        <f t="shared" ref="Q4:Q15" si="2">SUMIFS($E:$E,$A:$A,N4,$B:$B,$N$19)</f>
        <v>0</v>
      </c>
      <c r="R4">
        <f t="shared" ref="R4:R15" si="3">SUMIFS($F:$F,$A:$A,N4,$B:$B,$N$19)</f>
        <v>1948.1256258517319</v>
      </c>
      <c r="S4">
        <f t="shared" ref="S4:S15" si="4">SUMIFS($G:$G,$A:$A,N4,$B:$B,$N$19)</f>
        <v>962.64263914798266</v>
      </c>
      <c r="T4">
        <f t="shared" ref="T4:T15" si="5">SUMIFS($H:$H,$A:$A,N4,$B:$B,$N$19)</f>
        <v>3320.9748958856562</v>
      </c>
      <c r="U4">
        <f t="shared" ref="U4:U15" si="6">SUMIFS($I:$I,$A:$A,N4,$B:$B,$N$19)</f>
        <v>4487.8641617097583</v>
      </c>
      <c r="V4">
        <f t="shared" ref="V4:V15" si="7">SUMIFS($J:$J,$A:$A,N4,$B:$B,$N$19)</f>
        <v>1466.938217854022</v>
      </c>
      <c r="W4">
        <f t="shared" ref="W4:W15" si="8">SUMIFS($K:$K,$A:$A,N4,$B:$B,$N$19)</f>
        <v>1193.4002561548721</v>
      </c>
    </row>
    <row r="5" spans="1:23" x14ac:dyDescent="0.3">
      <c r="A5" t="s">
        <v>66</v>
      </c>
      <c r="B5" t="s">
        <v>50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16.316957984649299</v>
      </c>
      <c r="N5" t="s">
        <v>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U5">
        <f t="shared" si="6"/>
        <v>0</v>
      </c>
      <c r="V5">
        <f t="shared" si="7"/>
        <v>1358.164310335422</v>
      </c>
      <c r="W5">
        <f t="shared" si="8"/>
        <v>366.57755802738978</v>
      </c>
    </row>
    <row r="6" spans="1:23" x14ac:dyDescent="0.3">
      <c r="A6" t="s">
        <v>36</v>
      </c>
      <c r="B6" t="s">
        <v>49</v>
      </c>
      <c r="C6">
        <v>0</v>
      </c>
      <c r="D6">
        <v>0</v>
      </c>
      <c r="E6">
        <v>0</v>
      </c>
      <c r="F6">
        <v>4.5143731080343183</v>
      </c>
      <c r="G6">
        <v>2.2307226932127939</v>
      </c>
      <c r="H6">
        <v>7.6956637516066886</v>
      </c>
      <c r="I6">
        <v>10.39968522321335</v>
      </c>
      <c r="J6">
        <v>3.3993220734585168</v>
      </c>
      <c r="K6">
        <v>2.765455139039811</v>
      </c>
      <c r="N6" t="s">
        <v>38</v>
      </c>
      <c r="O6">
        <f t="shared" si="0"/>
        <v>74408.487162561578</v>
      </c>
      <c r="P6">
        <f t="shared" si="1"/>
        <v>37633.874586206897</v>
      </c>
      <c r="Q6">
        <f t="shared" si="2"/>
        <v>22882.769896551719</v>
      </c>
      <c r="R6">
        <f t="shared" si="3"/>
        <v>0</v>
      </c>
      <c r="S6">
        <f t="shared" si="4"/>
        <v>0</v>
      </c>
      <c r="T6">
        <f t="shared" si="5"/>
        <v>0</v>
      </c>
      <c r="U6">
        <f t="shared" si="6"/>
        <v>0</v>
      </c>
      <c r="V6">
        <f t="shared" si="7"/>
        <v>0</v>
      </c>
      <c r="W6">
        <f t="shared" si="8"/>
        <v>0</v>
      </c>
    </row>
    <row r="7" spans="1:23" x14ac:dyDescent="0.3">
      <c r="A7" t="s">
        <v>36</v>
      </c>
      <c r="B7" t="s">
        <v>51</v>
      </c>
      <c r="C7">
        <v>0</v>
      </c>
      <c r="D7">
        <v>0</v>
      </c>
      <c r="E7">
        <v>0</v>
      </c>
      <c r="F7">
        <v>1948.1256258517319</v>
      </c>
      <c r="G7">
        <v>962.64263914798266</v>
      </c>
      <c r="H7">
        <v>3320.9748958856562</v>
      </c>
      <c r="I7">
        <v>4487.8641617097583</v>
      </c>
      <c r="J7">
        <v>1466.938217854022</v>
      </c>
      <c r="K7">
        <v>1193.4002561548721</v>
      </c>
      <c r="N7" t="s">
        <v>39</v>
      </c>
      <c r="O7">
        <f t="shared" si="0"/>
        <v>13061.628482142851</v>
      </c>
      <c r="P7">
        <f t="shared" si="1"/>
        <v>11029.81960714285</v>
      </c>
      <c r="Q7">
        <f t="shared" si="2"/>
        <v>5514.9098035714269</v>
      </c>
      <c r="R7">
        <f t="shared" si="3"/>
        <v>0</v>
      </c>
      <c r="S7">
        <f t="shared" si="4"/>
        <v>0</v>
      </c>
      <c r="T7">
        <f t="shared" si="5"/>
        <v>0</v>
      </c>
      <c r="U7">
        <f t="shared" si="6"/>
        <v>0</v>
      </c>
      <c r="V7">
        <f t="shared" si="7"/>
        <v>0</v>
      </c>
      <c r="W7">
        <f t="shared" si="8"/>
        <v>0</v>
      </c>
    </row>
    <row r="8" spans="1:23" x14ac:dyDescent="0.3">
      <c r="A8" t="s">
        <v>36</v>
      </c>
      <c r="B8" t="s">
        <v>50</v>
      </c>
      <c r="C8">
        <v>0</v>
      </c>
      <c r="D8">
        <v>0</v>
      </c>
      <c r="E8">
        <v>0</v>
      </c>
      <c r="F8">
        <v>18.752011371834861</v>
      </c>
      <c r="G8">
        <v>9.2660788794992985</v>
      </c>
      <c r="H8">
        <v>31.96660327590471</v>
      </c>
      <c r="I8">
        <v>43.198692465655427</v>
      </c>
      <c r="J8">
        <v>14.120260920519989</v>
      </c>
      <c r="K8">
        <v>11.4872751929346</v>
      </c>
      <c r="N8" t="s">
        <v>40</v>
      </c>
      <c r="O8">
        <f t="shared" si="0"/>
        <v>653.75510204081672</v>
      </c>
      <c r="P8">
        <f t="shared" si="1"/>
        <v>17386.453500000011</v>
      </c>
      <c r="Q8">
        <f t="shared" si="2"/>
        <v>17958.489214285721</v>
      </c>
      <c r="R8">
        <f t="shared" si="3"/>
        <v>17958.489214285721</v>
      </c>
      <c r="S8">
        <f t="shared" si="4"/>
        <v>3771.7746857142861</v>
      </c>
      <c r="T8">
        <f t="shared" si="5"/>
        <v>1830.514285714286</v>
      </c>
      <c r="U8">
        <f t="shared" si="6"/>
        <v>457.62857142857138</v>
      </c>
      <c r="V8">
        <f t="shared" si="7"/>
        <v>228.8142857142858</v>
      </c>
      <c r="W8">
        <f t="shared" si="8"/>
        <v>0</v>
      </c>
    </row>
    <row r="9" spans="1:23" x14ac:dyDescent="0.3">
      <c r="A9" t="s">
        <v>37</v>
      </c>
      <c r="B9" t="s">
        <v>49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3.1472613251979462</v>
      </c>
      <c r="K9">
        <v>0.8494667120064292</v>
      </c>
      <c r="N9" t="s">
        <v>41</v>
      </c>
      <c r="O9">
        <f t="shared" si="0"/>
        <v>32145.589476000001</v>
      </c>
      <c r="P9">
        <f t="shared" si="1"/>
        <v>32228.375123999991</v>
      </c>
      <c r="Q9">
        <f t="shared" si="2"/>
        <v>18057.42516227884</v>
      </c>
      <c r="R9">
        <f t="shared" si="3"/>
        <v>20465.29636006118</v>
      </c>
      <c r="S9">
        <f t="shared" si="4"/>
        <v>28732.175999999999</v>
      </c>
      <c r="T9">
        <f t="shared" si="5"/>
        <v>8008.3002537769844</v>
      </c>
      <c r="U9">
        <f t="shared" si="6"/>
        <v>5279.0881922556509</v>
      </c>
      <c r="V9">
        <f t="shared" si="7"/>
        <v>3051.84</v>
      </c>
      <c r="W9">
        <f t="shared" si="8"/>
        <v>0</v>
      </c>
    </row>
    <row r="10" spans="1:23" x14ac:dyDescent="0.3">
      <c r="A10" t="s">
        <v>37</v>
      </c>
      <c r="B10" t="s">
        <v>51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1358.164310335422</v>
      </c>
      <c r="K10">
        <v>366.57755802738978</v>
      </c>
      <c r="N10" t="s">
        <v>42</v>
      </c>
      <c r="O10">
        <f t="shared" si="0"/>
        <v>0</v>
      </c>
      <c r="P10">
        <f t="shared" si="1"/>
        <v>0</v>
      </c>
      <c r="Q10">
        <f t="shared" si="2"/>
        <v>1904.098942154221</v>
      </c>
      <c r="R10">
        <f t="shared" si="3"/>
        <v>1634.913925588249</v>
      </c>
      <c r="S10">
        <f t="shared" si="4"/>
        <v>3846.545744997683</v>
      </c>
      <c r="T10">
        <f t="shared" si="5"/>
        <v>10786.743817000979</v>
      </c>
      <c r="U10">
        <f t="shared" si="6"/>
        <v>9530.1739924440317</v>
      </c>
      <c r="V10">
        <f t="shared" si="7"/>
        <v>6761.4292206272175</v>
      </c>
      <c r="W10">
        <f t="shared" si="8"/>
        <v>2417.2778962392399</v>
      </c>
    </row>
    <row r="11" spans="1:23" x14ac:dyDescent="0.3">
      <c r="A11" t="s">
        <v>37</v>
      </c>
      <c r="B11" t="s">
        <v>50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13.07323935082224</v>
      </c>
      <c r="K11">
        <v>3.528554034488244</v>
      </c>
      <c r="N11" t="s">
        <v>43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U11">
        <f t="shared" si="6"/>
        <v>0</v>
      </c>
      <c r="V11">
        <f t="shared" si="7"/>
        <v>0</v>
      </c>
      <c r="W11">
        <f t="shared" si="8"/>
        <v>3622.2536445412229</v>
      </c>
    </row>
    <row r="12" spans="1:23" x14ac:dyDescent="0.3">
      <c r="A12" t="s">
        <v>38</v>
      </c>
      <c r="B12" t="s">
        <v>49</v>
      </c>
      <c r="C12">
        <v>845.88533251231513</v>
      </c>
      <c r="D12">
        <v>427.82676724137929</v>
      </c>
      <c r="E12">
        <v>260.13429597701139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N12" t="s">
        <v>44</v>
      </c>
      <c r="O12">
        <f t="shared" si="0"/>
        <v>13986.9583</v>
      </c>
      <c r="P12">
        <f t="shared" si="1"/>
        <v>12516.31745</v>
      </c>
      <c r="Q12">
        <f t="shared" si="2"/>
        <v>13029.454725</v>
      </c>
      <c r="R12">
        <f t="shared" si="3"/>
        <v>10956.501050000001</v>
      </c>
      <c r="S12">
        <f t="shared" si="4"/>
        <v>8003.1277500000006</v>
      </c>
      <c r="T12">
        <f t="shared" si="5"/>
        <v>6894.4791749999986</v>
      </c>
      <c r="U12">
        <f t="shared" si="6"/>
        <v>5248.0902777777774</v>
      </c>
      <c r="V12">
        <f t="shared" si="7"/>
        <v>2833.96875</v>
      </c>
      <c r="W12">
        <f t="shared" si="8"/>
        <v>0</v>
      </c>
    </row>
    <row r="13" spans="1:23" x14ac:dyDescent="0.3">
      <c r="A13" t="s">
        <v>38</v>
      </c>
      <c r="B13" t="s">
        <v>51</v>
      </c>
      <c r="C13">
        <v>74408.487162561578</v>
      </c>
      <c r="D13">
        <v>37633.874586206897</v>
      </c>
      <c r="E13">
        <v>22882.769896551719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N13" t="s">
        <v>45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343.51136363636368</v>
      </c>
    </row>
    <row r="14" spans="1:23" x14ac:dyDescent="0.3">
      <c r="A14" t="s">
        <v>38</v>
      </c>
      <c r="B14" t="s">
        <v>50</v>
      </c>
      <c r="C14">
        <v>1404.9052044334969</v>
      </c>
      <c r="D14">
        <v>710.56445689655152</v>
      </c>
      <c r="E14">
        <v>432.04913505747112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N14" t="s">
        <v>46</v>
      </c>
      <c r="O14">
        <f t="shared" si="0"/>
        <v>4847.3071428571438</v>
      </c>
      <c r="P14">
        <f t="shared" si="1"/>
        <v>4847.3071428571438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U14">
        <f t="shared" si="6"/>
        <v>0</v>
      </c>
      <c r="V14">
        <f t="shared" si="7"/>
        <v>0</v>
      </c>
      <c r="W14">
        <f t="shared" si="8"/>
        <v>0</v>
      </c>
    </row>
    <row r="15" spans="1:23" x14ac:dyDescent="0.3">
      <c r="A15" t="s">
        <v>39</v>
      </c>
      <c r="B15" t="s">
        <v>49</v>
      </c>
      <c r="C15">
        <v>146.59875</v>
      </c>
      <c r="D15">
        <v>123.7945</v>
      </c>
      <c r="E15">
        <v>61.897249999999978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47</v>
      </c>
      <c r="O15">
        <f t="shared" si="0"/>
        <v>189.67142857142861</v>
      </c>
      <c r="P15">
        <f t="shared" si="1"/>
        <v>114.87142857142859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U15">
        <f t="shared" si="6"/>
        <v>0</v>
      </c>
      <c r="V15">
        <f t="shared" si="7"/>
        <v>0</v>
      </c>
      <c r="W15">
        <f t="shared" si="8"/>
        <v>0</v>
      </c>
    </row>
    <row r="16" spans="1:23" x14ac:dyDescent="0.3">
      <c r="A16" t="s">
        <v>39</v>
      </c>
      <c r="B16" t="s">
        <v>51</v>
      </c>
      <c r="C16">
        <v>13061.628482142851</v>
      </c>
      <c r="D16">
        <v>11029.81960714285</v>
      </c>
      <c r="E16">
        <v>5514.9098035714269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S16">
        <f t="shared" ref="S16" si="9">SUMIFS(G:G,$A:$A,N16,$B:$B,$N$19)</f>
        <v>0</v>
      </c>
      <c r="T16">
        <f t="shared" ref="T16" si="10">SUMIFS(H:H,$A:$A,N16,$B:$B,$N$19)</f>
        <v>0</v>
      </c>
    </row>
    <row r="17" spans="1:23" x14ac:dyDescent="0.3">
      <c r="A17" t="s">
        <v>39</v>
      </c>
      <c r="B17" t="s">
        <v>50</v>
      </c>
      <c r="C17">
        <v>280.19169642857128</v>
      </c>
      <c r="D17">
        <v>236.60632142857131</v>
      </c>
      <c r="E17">
        <v>118.3031607142857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23" x14ac:dyDescent="0.3">
      <c r="A18" t="s">
        <v>40</v>
      </c>
      <c r="B18" t="s">
        <v>49</v>
      </c>
      <c r="C18">
        <v>7.431972789115652</v>
      </c>
      <c r="D18">
        <v>197.65145833333341</v>
      </c>
      <c r="E18">
        <v>204.15443452380961</v>
      </c>
      <c r="F18">
        <v>204.15443452380961</v>
      </c>
      <c r="G18">
        <v>42.87802380952381</v>
      </c>
      <c r="H18">
        <v>20.80952380952381</v>
      </c>
      <c r="I18">
        <v>5.2023809523809508</v>
      </c>
      <c r="J18">
        <v>2.6011904761904772</v>
      </c>
      <c r="K18">
        <v>0</v>
      </c>
    </row>
    <row r="19" spans="1:23" x14ac:dyDescent="0.3">
      <c r="A19" t="s">
        <v>40</v>
      </c>
      <c r="B19" t="s">
        <v>51</v>
      </c>
      <c r="C19">
        <v>653.75510204081672</v>
      </c>
      <c r="D19">
        <v>17386.453500000011</v>
      </c>
      <c r="E19">
        <v>17958.489214285721</v>
      </c>
      <c r="F19">
        <v>17958.489214285721</v>
      </c>
      <c r="G19">
        <v>3771.7746857142861</v>
      </c>
      <c r="H19">
        <v>1830.514285714286</v>
      </c>
      <c r="I19">
        <v>457.62857142857138</v>
      </c>
      <c r="J19">
        <v>228.8142857142858</v>
      </c>
      <c r="K19">
        <v>0</v>
      </c>
      <c r="N19" t="s">
        <v>51</v>
      </c>
    </row>
    <row r="20" spans="1:23" x14ac:dyDescent="0.3">
      <c r="A20" t="s">
        <v>40</v>
      </c>
      <c r="B20" t="s">
        <v>50</v>
      </c>
      <c r="C20">
        <v>12.34353741496599</v>
      </c>
      <c r="D20">
        <v>328.27329166666669</v>
      </c>
      <c r="E20">
        <v>339.07388690476188</v>
      </c>
      <c r="F20">
        <v>339.07388690476188</v>
      </c>
      <c r="G20">
        <v>71.214804761904759</v>
      </c>
      <c r="H20">
        <v>34.561904761904763</v>
      </c>
      <c r="I20">
        <v>8.6404761904761873</v>
      </c>
      <c r="J20">
        <v>4.3202380952380954</v>
      </c>
      <c r="K20">
        <v>0</v>
      </c>
    </row>
    <row r="21" spans="1:23" x14ac:dyDescent="0.3">
      <c r="A21" t="s">
        <v>41</v>
      </c>
      <c r="B21" t="s">
        <v>49</v>
      </c>
      <c r="C21">
        <v>74.490670800000004</v>
      </c>
      <c r="D21">
        <v>74.682509199999984</v>
      </c>
      <c r="E21">
        <v>41.844300732553457</v>
      </c>
      <c r="F21">
        <v>47.424037911015212</v>
      </c>
      <c r="G21">
        <v>66.580799999999996</v>
      </c>
      <c r="H21">
        <v>18.55755852033883</v>
      </c>
      <c r="I21">
        <v>12.233181194175311</v>
      </c>
      <c r="J21">
        <v>7.0719999999999992</v>
      </c>
      <c r="K21">
        <v>0</v>
      </c>
      <c r="O21" s="4">
        <v>2007</v>
      </c>
      <c r="P21" s="4">
        <v>2010</v>
      </c>
      <c r="Q21" s="4">
        <v>2014</v>
      </c>
      <c r="R21" s="4">
        <v>2018</v>
      </c>
      <c r="S21" s="4">
        <v>2022</v>
      </c>
      <c r="T21" s="4">
        <v>2025</v>
      </c>
      <c r="U21" s="4">
        <v>2030</v>
      </c>
      <c r="V21" s="4">
        <v>2040</v>
      </c>
      <c r="W21" s="4">
        <v>2050</v>
      </c>
    </row>
    <row r="22" spans="1:23" x14ac:dyDescent="0.3">
      <c r="A22" t="s">
        <v>41</v>
      </c>
      <c r="B22" t="s">
        <v>51</v>
      </c>
      <c r="C22">
        <v>32145.589476000001</v>
      </c>
      <c r="D22">
        <v>32228.375123999991</v>
      </c>
      <c r="E22">
        <v>18057.42516227884</v>
      </c>
      <c r="F22">
        <v>20465.29636006118</v>
      </c>
      <c r="G22">
        <v>28732.175999999999</v>
      </c>
      <c r="H22">
        <v>8008.3002537769844</v>
      </c>
      <c r="I22">
        <v>5279.0881922556509</v>
      </c>
      <c r="J22">
        <v>3051.84</v>
      </c>
      <c r="K22">
        <v>0</v>
      </c>
      <c r="N22" t="s">
        <v>54</v>
      </c>
      <c r="O22">
        <f t="shared" ref="O22:W22" si="11">SUM(O6,O7,O8)/1000</f>
        <v>88.123870746745254</v>
      </c>
      <c r="P22">
        <f t="shared" si="11"/>
        <v>66.050147693349743</v>
      </c>
      <c r="Q22">
        <f t="shared" si="11"/>
        <v>46.356168914408869</v>
      </c>
      <c r="R22">
        <f t="shared" si="11"/>
        <v>17.95848921428572</v>
      </c>
      <c r="S22">
        <f t="shared" si="11"/>
        <v>3.771774685714286</v>
      </c>
      <c r="T22">
        <f t="shared" si="11"/>
        <v>1.830514285714286</v>
      </c>
      <c r="U22">
        <f t="shared" si="11"/>
        <v>0.45762857142857138</v>
      </c>
      <c r="V22">
        <f t="shared" si="11"/>
        <v>0.2288142857142858</v>
      </c>
      <c r="W22">
        <f t="shared" si="11"/>
        <v>0</v>
      </c>
    </row>
    <row r="23" spans="1:23" x14ac:dyDescent="0.3">
      <c r="A23" t="s">
        <v>41</v>
      </c>
      <c r="B23" t="s">
        <v>50</v>
      </c>
      <c r="C23">
        <v>309.42278640000012</v>
      </c>
      <c r="D23">
        <v>310.21965360000002</v>
      </c>
      <c r="E23">
        <v>173.814787658299</v>
      </c>
      <c r="F23">
        <v>196.99215747652471</v>
      </c>
      <c r="G23">
        <v>276.56639999999987</v>
      </c>
      <c r="H23">
        <v>77.085243084484347</v>
      </c>
      <c r="I23">
        <v>50.814752652728188</v>
      </c>
      <c r="J23">
        <v>29.376000000000001</v>
      </c>
      <c r="K23">
        <v>0</v>
      </c>
      <c r="N23" t="s">
        <v>52</v>
      </c>
      <c r="O23">
        <f t="shared" ref="O23:W23" si="12">SUM(O12,O13)/1000</f>
        <v>13.9869583</v>
      </c>
      <c r="P23">
        <f t="shared" si="12"/>
        <v>12.516317450000001</v>
      </c>
      <c r="Q23">
        <f t="shared" si="12"/>
        <v>13.029454724999999</v>
      </c>
      <c r="R23">
        <f t="shared" si="12"/>
        <v>10.95650105</v>
      </c>
      <c r="S23">
        <f t="shared" si="12"/>
        <v>8.0031277500000009</v>
      </c>
      <c r="T23">
        <f t="shared" si="12"/>
        <v>6.894479174999999</v>
      </c>
      <c r="U23">
        <f t="shared" si="12"/>
        <v>5.2480902777777771</v>
      </c>
      <c r="V23">
        <f t="shared" si="12"/>
        <v>2.8339687499999999</v>
      </c>
      <c r="W23">
        <f t="shared" si="12"/>
        <v>0.3435113636363637</v>
      </c>
    </row>
    <row r="24" spans="1:23" x14ac:dyDescent="0.3">
      <c r="A24" t="s">
        <v>42</v>
      </c>
      <c r="B24" t="s">
        <v>49</v>
      </c>
      <c r="C24">
        <v>0</v>
      </c>
      <c r="D24">
        <v>0</v>
      </c>
      <c r="E24">
        <v>4.412350489840442</v>
      </c>
      <c r="F24">
        <v>3.7885705940547649</v>
      </c>
      <c r="G24">
        <v>8.9135641149678939</v>
      </c>
      <c r="H24">
        <v>24.996019540287481</v>
      </c>
      <c r="I24">
        <v>22.084182157178681</v>
      </c>
      <c r="J24">
        <v>15.66819605492938</v>
      </c>
      <c r="K24">
        <v>5.6015352319269374</v>
      </c>
      <c r="N24" t="s">
        <v>53</v>
      </c>
      <c r="O24">
        <f t="shared" ref="O24:W24" si="13">SUM(O4,O5,O9,O10,O11,O12,O14,O15)/1000</f>
        <v>51.169526347428565</v>
      </c>
      <c r="P24">
        <f t="shared" si="13"/>
        <v>49.706871145428565</v>
      </c>
      <c r="Q24">
        <f t="shared" si="13"/>
        <v>32.990978829433068</v>
      </c>
      <c r="R24">
        <f t="shared" si="13"/>
        <v>35.004836961501162</v>
      </c>
      <c r="S24">
        <f t="shared" si="13"/>
        <v>41.544492134145663</v>
      </c>
      <c r="T24">
        <f t="shared" si="13"/>
        <v>29.010498141663621</v>
      </c>
      <c r="U24">
        <f t="shared" si="13"/>
        <v>24.545216624187219</v>
      </c>
      <c r="V24">
        <f t="shared" si="13"/>
        <v>15.472340498816662</v>
      </c>
      <c r="W24">
        <f t="shared" si="13"/>
        <v>7.5995093549627253</v>
      </c>
    </row>
    <row r="25" spans="1:23" x14ac:dyDescent="0.3">
      <c r="A25" t="s">
        <v>42</v>
      </c>
      <c r="B25" t="s">
        <v>51</v>
      </c>
      <c r="C25">
        <v>0</v>
      </c>
      <c r="D25">
        <v>0</v>
      </c>
      <c r="E25">
        <v>1904.098942154221</v>
      </c>
      <c r="F25">
        <v>1634.913925588249</v>
      </c>
      <c r="G25">
        <v>3846.545744997683</v>
      </c>
      <c r="H25">
        <v>10786.743817000979</v>
      </c>
      <c r="I25">
        <v>9530.1739924440317</v>
      </c>
      <c r="J25">
        <v>6761.4292206272175</v>
      </c>
      <c r="K25">
        <v>2417.2778962392399</v>
      </c>
    </row>
    <row r="26" spans="1:23" x14ac:dyDescent="0.3">
      <c r="A26" t="s">
        <v>42</v>
      </c>
      <c r="B26" t="s">
        <v>50</v>
      </c>
      <c r="C26">
        <v>0</v>
      </c>
      <c r="D26">
        <v>0</v>
      </c>
      <c r="E26">
        <v>18.328225111644912</v>
      </c>
      <c r="F26">
        <v>15.73713939068902</v>
      </c>
      <c r="G26">
        <v>37.025574016020478</v>
      </c>
      <c r="H26">
        <v>103.8296196288865</v>
      </c>
      <c r="I26">
        <v>91.734295114434545</v>
      </c>
      <c r="J26">
        <v>65.083275920475899</v>
      </c>
      <c r="K26">
        <v>23.26791557877343</v>
      </c>
    </row>
    <row r="27" spans="1:23" x14ac:dyDescent="0.3">
      <c r="A27" t="s">
        <v>43</v>
      </c>
      <c r="B27" t="s">
        <v>49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8.3938141495607681</v>
      </c>
    </row>
    <row r="28" spans="1:23" x14ac:dyDescent="0.3">
      <c r="A28" t="s">
        <v>43</v>
      </c>
      <c r="B28" t="s">
        <v>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3622.2536445412229</v>
      </c>
    </row>
    <row r="29" spans="1:23" x14ac:dyDescent="0.3">
      <c r="A29" t="s">
        <v>43</v>
      </c>
      <c r="B29" t="s">
        <v>50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34.866612621252422</v>
      </c>
    </row>
    <row r="30" spans="1:23" x14ac:dyDescent="0.3">
      <c r="A30" t="s">
        <v>44</v>
      </c>
      <c r="B30" t="s">
        <v>49</v>
      </c>
      <c r="C30">
        <v>142.41906</v>
      </c>
      <c r="D30">
        <v>127.44459000000001</v>
      </c>
      <c r="E30">
        <v>132.66949500000001</v>
      </c>
      <c r="F30">
        <v>111.56211</v>
      </c>
      <c r="G30">
        <v>81.490050000000039</v>
      </c>
      <c r="H30">
        <v>70.201485000000005</v>
      </c>
      <c r="I30">
        <v>53.437500000000007</v>
      </c>
      <c r="J30">
        <v>28.856249999999999</v>
      </c>
      <c r="K30">
        <v>0</v>
      </c>
    </row>
    <row r="31" spans="1:23" x14ac:dyDescent="0.3">
      <c r="A31" t="s">
        <v>44</v>
      </c>
      <c r="B31" t="s">
        <v>51</v>
      </c>
      <c r="C31">
        <v>13986.9583</v>
      </c>
      <c r="D31">
        <v>12516.31745</v>
      </c>
      <c r="E31">
        <v>13029.454725</v>
      </c>
      <c r="F31">
        <v>10956.501050000001</v>
      </c>
      <c r="G31">
        <v>8003.1277500000006</v>
      </c>
      <c r="H31">
        <v>6894.4791749999986</v>
      </c>
      <c r="I31">
        <v>5248.0902777777774</v>
      </c>
      <c r="J31">
        <v>2833.96875</v>
      </c>
      <c r="K31">
        <v>0</v>
      </c>
    </row>
    <row r="32" spans="1:23" x14ac:dyDescent="0.3">
      <c r="A32" t="s">
        <v>44</v>
      </c>
      <c r="B32" t="s">
        <v>50</v>
      </c>
      <c r="C32">
        <v>559.12668000000008</v>
      </c>
      <c r="D32">
        <v>500.33801999999997</v>
      </c>
      <c r="E32">
        <v>520.85061000000007</v>
      </c>
      <c r="F32">
        <v>437.98458000000011</v>
      </c>
      <c r="G32">
        <v>319.9239</v>
      </c>
      <c r="H32">
        <v>275.60583000000003</v>
      </c>
      <c r="I32">
        <v>209.79166666666671</v>
      </c>
      <c r="J32">
        <v>113.28749999999999</v>
      </c>
      <c r="K32">
        <v>0</v>
      </c>
    </row>
    <row r="33" spans="1:19" x14ac:dyDescent="0.3">
      <c r="A33" t="s">
        <v>45</v>
      </c>
      <c r="B33" t="s">
        <v>49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3.497727272727273</v>
      </c>
    </row>
    <row r="34" spans="1:19" x14ac:dyDescent="0.3">
      <c r="A34" t="s">
        <v>45</v>
      </c>
      <c r="B34" t="s">
        <v>51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343.51136363636368</v>
      </c>
    </row>
    <row r="35" spans="1:19" x14ac:dyDescent="0.3">
      <c r="A35" t="s">
        <v>45</v>
      </c>
      <c r="B35" t="s">
        <v>50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13.731818181818181</v>
      </c>
    </row>
    <row r="36" spans="1:19" x14ac:dyDescent="0.3">
      <c r="A36" t="s">
        <v>46</v>
      </c>
      <c r="B36" t="s">
        <v>49</v>
      </c>
      <c r="C36">
        <v>11.23261904761905</v>
      </c>
      <c r="D36">
        <v>11.23261904761905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9" x14ac:dyDescent="0.3">
      <c r="A37" t="s">
        <v>46</v>
      </c>
      <c r="B37" t="s">
        <v>51</v>
      </c>
      <c r="C37">
        <v>4847.3071428571438</v>
      </c>
      <c r="D37">
        <v>4847.3071428571438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9" x14ac:dyDescent="0.3">
      <c r="A38" t="s">
        <v>46</v>
      </c>
      <c r="B38" t="s">
        <v>50</v>
      </c>
      <c r="C38">
        <v>46.658571428571427</v>
      </c>
      <c r="D38">
        <v>46.658571428571427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9" x14ac:dyDescent="0.3">
      <c r="A39" t="s">
        <v>47</v>
      </c>
      <c r="B39" t="s">
        <v>49</v>
      </c>
      <c r="C39">
        <v>0.43952380952380948</v>
      </c>
      <c r="D39">
        <v>0.2661904761904762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9" x14ac:dyDescent="0.3">
      <c r="A40" t="s">
        <v>47</v>
      </c>
      <c r="B40" t="s">
        <v>51</v>
      </c>
      <c r="C40">
        <v>189.67142857142861</v>
      </c>
      <c r="D40">
        <v>114.87142857142859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9" x14ac:dyDescent="0.3">
      <c r="A41" t="s">
        <v>47</v>
      </c>
      <c r="B41" t="s">
        <v>50</v>
      </c>
      <c r="C41">
        <v>1.8257142857142861</v>
      </c>
      <c r="D41">
        <v>1.1057142857142861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5" spans="1:19" x14ac:dyDescent="0.3">
      <c r="N45">
        <v>2007</v>
      </c>
      <c r="O45">
        <v>2010</v>
      </c>
      <c r="P45">
        <v>2014</v>
      </c>
      <c r="Q45">
        <v>2018</v>
      </c>
      <c r="R45">
        <v>2022</v>
      </c>
      <c r="S45">
        <v>2023</v>
      </c>
    </row>
    <row r="46" spans="1:19" x14ac:dyDescent="0.3">
      <c r="M46" t="s">
        <v>4</v>
      </c>
      <c r="N46" s="2">
        <v>71.436000000000007</v>
      </c>
      <c r="O46" s="2">
        <v>25.3</v>
      </c>
      <c r="P46" s="2">
        <v>42.912999999999997</v>
      </c>
      <c r="Q46" s="2">
        <v>36.701999999999998</v>
      </c>
      <c r="R46" s="2">
        <v>8.9670000000000005</v>
      </c>
      <c r="S46" s="2">
        <v>5.43</v>
      </c>
    </row>
    <row r="47" spans="1:19" x14ac:dyDescent="0.3">
      <c r="M47" t="s">
        <v>6</v>
      </c>
      <c r="N47" s="2">
        <v>13.48</v>
      </c>
      <c r="O47" s="2">
        <v>11.218</v>
      </c>
      <c r="P47" s="2">
        <v>9.9710000000000001</v>
      </c>
      <c r="Q47" s="2">
        <v>9.5120000000000005</v>
      </c>
      <c r="R47" s="2">
        <v>6.7210000000000001</v>
      </c>
      <c r="S47" s="2">
        <v>6.24</v>
      </c>
    </row>
    <row r="48" spans="1:19" x14ac:dyDescent="0.3">
      <c r="M48" t="s">
        <v>7</v>
      </c>
      <c r="N48" s="2">
        <v>32.332999999999998</v>
      </c>
      <c r="O48" s="2">
        <v>34.341999999999999</v>
      </c>
      <c r="P48" s="2">
        <v>16.512</v>
      </c>
      <c r="Q48" s="2">
        <v>21.161999999999999</v>
      </c>
      <c r="R48" s="2">
        <v>32.043999999999997</v>
      </c>
      <c r="S48" s="2">
        <v>24.222999999999999</v>
      </c>
    </row>
    <row r="49" spans="13:19" x14ac:dyDescent="0.3">
      <c r="M49" t="s">
        <v>25</v>
      </c>
      <c r="N49" s="2">
        <v>1.1870000000000001</v>
      </c>
      <c r="O49" s="2">
        <v>0.66800000000000004</v>
      </c>
      <c r="P49" s="2">
        <v>0.78300000000000003</v>
      </c>
      <c r="Q49" s="2">
        <v>1.3839999999999999</v>
      </c>
      <c r="R49" s="2">
        <v>1.3180000000000001</v>
      </c>
      <c r="S49" s="2">
        <v>1.22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32E31-20CB-4056-864B-0FCE4F4387EC}">
  <dimension ref="A1:K68"/>
  <sheetViews>
    <sheetView tabSelected="1" zoomScale="90" zoomScaleNormal="90" workbookViewId="0">
      <selection activeCell="G25" sqref="G25"/>
    </sheetView>
  </sheetViews>
  <sheetFormatPr defaultRowHeight="14.4" x14ac:dyDescent="0.3"/>
  <cols>
    <col min="1" max="1" width="21.6640625" bestFit="1" customWidth="1"/>
    <col min="2" max="2" width="13.33203125" bestFit="1" customWidth="1"/>
    <col min="3" max="3" width="12" bestFit="1" customWidth="1"/>
    <col min="6" max="6" width="13.33203125" bestFit="1" customWidth="1"/>
    <col min="14" max="14" width="11.33203125" bestFit="1" customWidth="1"/>
    <col min="22" max="22" width="11.33203125" bestFit="1" customWidth="1"/>
    <col min="23" max="23" width="10.44140625" bestFit="1" customWidth="1"/>
    <col min="24" max="24" width="9.88671875" bestFit="1" customWidth="1"/>
    <col min="25" max="25" width="8.33203125" bestFit="1" customWidth="1"/>
    <col min="26" max="26" width="9.88671875" bestFit="1" customWidth="1"/>
    <col min="28" max="28" width="9.33203125" bestFit="1" customWidth="1"/>
  </cols>
  <sheetData>
    <row r="1" spans="1:11" x14ac:dyDescent="0.3">
      <c r="A1" s="4" t="s">
        <v>34</v>
      </c>
      <c r="B1" s="4" t="s">
        <v>55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2024</v>
      </c>
      <c r="I1" s="4">
        <v>2030</v>
      </c>
      <c r="J1" s="4">
        <v>2040</v>
      </c>
      <c r="K1" s="4">
        <v>2050</v>
      </c>
    </row>
    <row r="2" spans="1:11" x14ac:dyDescent="0.3">
      <c r="A2" t="s">
        <v>35</v>
      </c>
      <c r="B2" t="s">
        <v>56</v>
      </c>
      <c r="C2">
        <v>7.390620000000002</v>
      </c>
      <c r="D2">
        <v>11.47752</v>
      </c>
      <c r="E2">
        <v>16.16976</v>
      </c>
      <c r="F2">
        <v>16.422840000000001</v>
      </c>
      <c r="G2">
        <v>19.505970000000008</v>
      </c>
      <c r="H2">
        <v>18.19098</v>
      </c>
      <c r="I2">
        <v>21.375</v>
      </c>
      <c r="J2">
        <v>22.5625</v>
      </c>
      <c r="K2">
        <v>55.000000000000043</v>
      </c>
    </row>
    <row r="3" spans="1:11" x14ac:dyDescent="0.3">
      <c r="A3" t="s">
        <v>36</v>
      </c>
      <c r="B3" t="s">
        <v>57</v>
      </c>
      <c r="C3">
        <v>0</v>
      </c>
      <c r="D3">
        <v>0</v>
      </c>
      <c r="E3">
        <v>2.739266408448001</v>
      </c>
      <c r="F3">
        <v>5.4785328168960046</v>
      </c>
      <c r="G3">
        <v>7.502977506816003</v>
      </c>
      <c r="H3">
        <v>8.7534737579519977</v>
      </c>
      <c r="I3">
        <v>5.8046240131200006</v>
      </c>
      <c r="J3">
        <v>6.4181787496703997</v>
      </c>
      <c r="K3">
        <v>6.1329941142336013</v>
      </c>
    </row>
    <row r="4" spans="1:11" x14ac:dyDescent="0.3">
      <c r="A4" t="s">
        <v>74</v>
      </c>
      <c r="B4" t="s">
        <v>57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30.61675114629714</v>
      </c>
      <c r="J4">
        <v>32.152990487039993</v>
      </c>
      <c r="K4">
        <v>17.732142812159999</v>
      </c>
    </row>
    <row r="5" spans="1:11" x14ac:dyDescent="0.3">
      <c r="A5" t="s">
        <v>37</v>
      </c>
      <c r="B5" t="s">
        <v>57</v>
      </c>
      <c r="C5">
        <v>0</v>
      </c>
      <c r="D5">
        <v>0</v>
      </c>
      <c r="E5">
        <v>0</v>
      </c>
      <c r="F5">
        <v>11.923865542655999</v>
      </c>
      <c r="G5">
        <v>16.14149032265469</v>
      </c>
      <c r="H5">
        <v>14.967744398208</v>
      </c>
      <c r="I5">
        <v>12.63359344032</v>
      </c>
      <c r="J5">
        <v>12.63359344032</v>
      </c>
      <c r="K5">
        <v>12.58002944752533</v>
      </c>
    </row>
    <row r="6" spans="1:11" x14ac:dyDescent="0.3">
      <c r="A6" t="s">
        <v>73</v>
      </c>
      <c r="B6" t="s">
        <v>57</v>
      </c>
      <c r="C6">
        <v>0</v>
      </c>
      <c r="D6">
        <v>0</v>
      </c>
      <c r="E6">
        <v>0</v>
      </c>
      <c r="F6">
        <v>50.354424989857208</v>
      </c>
      <c r="G6">
        <v>75.670864088298316</v>
      </c>
      <c r="H6">
        <v>56.089964446146993</v>
      </c>
      <c r="I6">
        <v>46.878242739044538</v>
      </c>
      <c r="J6">
        <v>49.090852591489373</v>
      </c>
      <c r="K6">
        <v>45.753419384678352</v>
      </c>
    </row>
    <row r="7" spans="1:11" x14ac:dyDescent="0.3">
      <c r="A7" t="s">
        <v>78</v>
      </c>
      <c r="B7" t="s">
        <v>57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38.248920465489348</v>
      </c>
      <c r="J7">
        <v>55.644490493355789</v>
      </c>
      <c r="K7">
        <v>38.876842042369248</v>
      </c>
    </row>
    <row r="8" spans="1:11" x14ac:dyDescent="0.3">
      <c r="A8" t="s">
        <v>38</v>
      </c>
      <c r="B8" t="s">
        <v>57</v>
      </c>
      <c r="C8">
        <v>266.70999999999998</v>
      </c>
      <c r="D8">
        <v>92.193830910453428</v>
      </c>
      <c r="E8">
        <v>155.04000000000011</v>
      </c>
      <c r="F8">
        <v>125.2480000000001</v>
      </c>
      <c r="G8">
        <v>22.609999999999989</v>
      </c>
      <c r="H8">
        <v>4.7310000000000052</v>
      </c>
      <c r="I8">
        <v>0</v>
      </c>
      <c r="J8">
        <v>0</v>
      </c>
      <c r="K8">
        <v>0</v>
      </c>
    </row>
    <row r="9" spans="1:11" x14ac:dyDescent="0.3">
      <c r="A9" t="s">
        <v>40</v>
      </c>
      <c r="B9" t="s">
        <v>57</v>
      </c>
      <c r="C9">
        <v>0</v>
      </c>
      <c r="D9">
        <v>2.375</v>
      </c>
      <c r="E9">
        <v>4.75</v>
      </c>
      <c r="F9">
        <v>7.1250000000000009</v>
      </c>
      <c r="G9">
        <v>7.125</v>
      </c>
      <c r="H9">
        <v>7.1249999999999991</v>
      </c>
      <c r="I9">
        <v>1.9</v>
      </c>
      <c r="J9">
        <v>0.95</v>
      </c>
      <c r="K9">
        <v>0</v>
      </c>
    </row>
    <row r="10" spans="1:11" x14ac:dyDescent="0.3">
      <c r="A10" t="s">
        <v>58</v>
      </c>
      <c r="B10" t="s">
        <v>57</v>
      </c>
      <c r="C10">
        <v>0</v>
      </c>
      <c r="D10">
        <v>0.6</v>
      </c>
      <c r="E10">
        <v>0</v>
      </c>
      <c r="F10">
        <v>0</v>
      </c>
      <c r="G10">
        <v>0.29749999999999999</v>
      </c>
      <c r="H10">
        <v>0.27625</v>
      </c>
      <c r="I10">
        <v>0.21249999999999999</v>
      </c>
      <c r="J10">
        <v>0.10625</v>
      </c>
      <c r="K10">
        <v>0</v>
      </c>
    </row>
    <row r="11" spans="1:11" x14ac:dyDescent="0.3">
      <c r="A11" t="s">
        <v>59</v>
      </c>
      <c r="B11" t="s">
        <v>57</v>
      </c>
      <c r="C11">
        <v>64.115802975979975</v>
      </c>
      <c r="D11">
        <v>105.03380906816631</v>
      </c>
      <c r="E11">
        <v>105.03380906816631</v>
      </c>
      <c r="F11">
        <v>105.03380906816631</v>
      </c>
      <c r="G11">
        <v>76.117619087266618</v>
      </c>
      <c r="H11">
        <v>112.57276229505921</v>
      </c>
      <c r="I11">
        <v>180.53430674053351</v>
      </c>
      <c r="J11">
        <v>197.9987056287091</v>
      </c>
      <c r="K11">
        <v>152.19624955171309</v>
      </c>
    </row>
    <row r="12" spans="1:11" x14ac:dyDescent="0.3">
      <c r="A12" t="s">
        <v>33</v>
      </c>
      <c r="B12" t="s">
        <v>56</v>
      </c>
      <c r="C12">
        <v>1.1361729792628801</v>
      </c>
      <c r="D12">
        <v>11.406300912733389</v>
      </c>
      <c r="E12">
        <v>11.406300912733389</v>
      </c>
      <c r="F12">
        <v>11.406300912733389</v>
      </c>
      <c r="G12">
        <v>11.406300912733389</v>
      </c>
      <c r="H12">
        <v>30.592145155550579</v>
      </c>
      <c r="I12">
        <v>56.764800000000001</v>
      </c>
      <c r="J12">
        <v>52.842813034977247</v>
      </c>
      <c r="K12">
        <v>56.76479999999998</v>
      </c>
    </row>
    <row r="13" spans="1:11" x14ac:dyDescent="0.3">
      <c r="A13" t="s">
        <v>41</v>
      </c>
      <c r="B13" t="s">
        <v>57</v>
      </c>
      <c r="C13">
        <v>341.27640000000008</v>
      </c>
      <c r="D13">
        <v>341.46359999999999</v>
      </c>
      <c r="E13">
        <v>176.8038935915518</v>
      </c>
      <c r="F13">
        <v>130.61685665059039</v>
      </c>
      <c r="G13">
        <v>194.7191680822315</v>
      </c>
      <c r="H13">
        <v>102.3283609070353</v>
      </c>
      <c r="I13">
        <v>81.364290365245665</v>
      </c>
      <c r="J13">
        <v>27.2</v>
      </c>
      <c r="K13">
        <v>0</v>
      </c>
    </row>
    <row r="14" spans="1:11" x14ac:dyDescent="0.3">
      <c r="A14" t="s">
        <v>42</v>
      </c>
      <c r="B14" t="s">
        <v>57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3.769322158815291</v>
      </c>
      <c r="J14">
        <v>51.216483529647519</v>
      </c>
      <c r="K14">
        <v>2.5362030710475478</v>
      </c>
    </row>
    <row r="15" spans="1:11" x14ac:dyDescent="0.3">
      <c r="A15" t="s">
        <v>43</v>
      </c>
      <c r="B15" t="s">
        <v>57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3.9975629399039132</v>
      </c>
      <c r="K15">
        <v>66.695244215084998</v>
      </c>
    </row>
    <row r="16" spans="1:11" x14ac:dyDescent="0.3">
      <c r="A16" t="s">
        <v>68</v>
      </c>
      <c r="B16" t="s">
        <v>57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44</v>
      </c>
      <c r="B17" t="s">
        <v>57</v>
      </c>
      <c r="C17">
        <v>66.628799999999998</v>
      </c>
      <c r="D17">
        <v>65.585520000000002</v>
      </c>
      <c r="E17">
        <v>48.293819999999997</v>
      </c>
      <c r="F17">
        <v>49.583159999999999</v>
      </c>
      <c r="G17">
        <v>36.217799999999997</v>
      </c>
      <c r="H17">
        <v>30.513999999999989</v>
      </c>
      <c r="I17">
        <v>9.5000000000000018</v>
      </c>
      <c r="J17">
        <v>4.75</v>
      </c>
      <c r="K17">
        <v>0</v>
      </c>
    </row>
    <row r="18" spans="1:11" x14ac:dyDescent="0.3">
      <c r="A18" t="s">
        <v>60</v>
      </c>
      <c r="B18" t="s">
        <v>57</v>
      </c>
      <c r="C18">
        <v>198.37</v>
      </c>
      <c r="D18">
        <v>218.93267982188161</v>
      </c>
      <c r="E18">
        <v>211.76298686064999</v>
      </c>
      <c r="F18">
        <v>196.4373620758995</v>
      </c>
      <c r="G18">
        <v>218.93267982188161</v>
      </c>
      <c r="H18">
        <v>215.94100000000009</v>
      </c>
      <c r="I18">
        <v>136.5</v>
      </c>
      <c r="J18">
        <v>134.75</v>
      </c>
      <c r="K18">
        <v>133</v>
      </c>
    </row>
    <row r="19" spans="1:11" x14ac:dyDescent="0.3">
      <c r="A19" t="s">
        <v>69</v>
      </c>
      <c r="B19" t="s">
        <v>57</v>
      </c>
      <c r="C19">
        <v>0</v>
      </c>
      <c r="D19">
        <v>0</v>
      </c>
      <c r="E19">
        <v>0</v>
      </c>
      <c r="F19">
        <v>0</v>
      </c>
      <c r="G19">
        <v>0</v>
      </c>
      <c r="H19">
        <v>49.628895730560011</v>
      </c>
      <c r="I19">
        <v>49.084556838181598</v>
      </c>
      <c r="J19">
        <v>46.347652021864597</v>
      </c>
      <c r="K19">
        <v>49.628895730560011</v>
      </c>
    </row>
    <row r="20" spans="1:11" x14ac:dyDescent="0.3">
      <c r="A20" t="s">
        <v>70</v>
      </c>
      <c r="B20" t="s">
        <v>57</v>
      </c>
      <c r="C20">
        <v>0</v>
      </c>
      <c r="D20">
        <v>0</v>
      </c>
      <c r="E20">
        <v>0</v>
      </c>
      <c r="F20">
        <v>0</v>
      </c>
      <c r="G20">
        <v>0</v>
      </c>
      <c r="H20">
        <v>16.203395098367999</v>
      </c>
      <c r="I20">
        <v>12.160229912994311</v>
      </c>
      <c r="J20">
        <v>13.48791353468928</v>
      </c>
      <c r="K20">
        <v>13.11200140741632</v>
      </c>
    </row>
    <row r="21" spans="1:11" x14ac:dyDescent="0.3">
      <c r="A21" t="s">
        <v>61</v>
      </c>
      <c r="B21" t="s">
        <v>57</v>
      </c>
      <c r="C21">
        <v>0</v>
      </c>
      <c r="D21">
        <v>4.4761199999999954</v>
      </c>
      <c r="E21">
        <v>27.327780000000001</v>
      </c>
      <c r="F21">
        <v>31.572260000000011</v>
      </c>
      <c r="G21">
        <v>102.1326599999999</v>
      </c>
      <c r="H21">
        <v>113.492669171072</v>
      </c>
      <c r="I21">
        <v>176.25521324882411</v>
      </c>
      <c r="J21">
        <v>196.4144344434462</v>
      </c>
      <c r="K21">
        <v>222.25910286202361</v>
      </c>
    </row>
    <row r="22" spans="1:11" x14ac:dyDescent="0.3">
      <c r="A22" t="s">
        <v>62</v>
      </c>
      <c r="B22" t="s">
        <v>56</v>
      </c>
      <c r="C22">
        <v>1.7613000000000001</v>
      </c>
      <c r="D22">
        <v>20.099999999999991</v>
      </c>
      <c r="E22">
        <v>20.07</v>
      </c>
      <c r="F22">
        <v>20.079999999999991</v>
      </c>
      <c r="G22">
        <v>20.039999999999988</v>
      </c>
      <c r="H22">
        <v>20.02</v>
      </c>
      <c r="I22">
        <v>0</v>
      </c>
      <c r="J22">
        <v>5</v>
      </c>
      <c r="K22">
        <v>0</v>
      </c>
    </row>
    <row r="23" spans="1:11" x14ac:dyDescent="0.3">
      <c r="A23" t="s">
        <v>63</v>
      </c>
      <c r="B23" t="s">
        <v>57</v>
      </c>
      <c r="C23">
        <v>75.369028573276267</v>
      </c>
      <c r="D23">
        <v>94.326291108638628</v>
      </c>
      <c r="E23">
        <v>94.326291108638628</v>
      </c>
      <c r="F23">
        <v>94.091457579524757</v>
      </c>
      <c r="G23">
        <v>94.3262911086386</v>
      </c>
      <c r="H23">
        <v>94.326291108638642</v>
      </c>
      <c r="I23">
        <v>12</v>
      </c>
      <c r="J23">
        <v>12</v>
      </c>
      <c r="K23">
        <v>12</v>
      </c>
    </row>
    <row r="24" spans="1:11" x14ac:dyDescent="0.3">
      <c r="A24" t="s">
        <v>64</v>
      </c>
      <c r="B24" t="s">
        <v>57</v>
      </c>
      <c r="C24">
        <v>18.908971426723721</v>
      </c>
      <c r="D24">
        <v>74.868708891361408</v>
      </c>
      <c r="E24">
        <v>83.561208891361446</v>
      </c>
      <c r="F24">
        <v>79.977042420475271</v>
      </c>
      <c r="G24">
        <v>123.6773304425319</v>
      </c>
      <c r="H24">
        <v>128.5721492325948</v>
      </c>
      <c r="I24">
        <v>319.28615384615398</v>
      </c>
      <c r="J24">
        <v>461.64307692307699</v>
      </c>
      <c r="K24">
        <v>604</v>
      </c>
    </row>
    <row r="25" spans="1:11" x14ac:dyDescent="0.3">
      <c r="A25" t="s">
        <v>77</v>
      </c>
      <c r="B25" t="s">
        <v>57</v>
      </c>
      <c r="C25">
        <v>44.627224044757128</v>
      </c>
      <c r="D25">
        <v>47.399490019100263</v>
      </c>
      <c r="E25">
        <v>38.248290019100288</v>
      </c>
      <c r="F25">
        <v>16.513290019100289</v>
      </c>
      <c r="G25">
        <v>0</v>
      </c>
      <c r="H25">
        <v>3.79069254939018</v>
      </c>
      <c r="I25">
        <v>4.7008932594665396</v>
      </c>
      <c r="J25">
        <v>18.65848133631355</v>
      </c>
      <c r="K25">
        <v>88.038950448286769</v>
      </c>
    </row>
    <row r="29" spans="1:11" x14ac:dyDescent="0.3">
      <c r="C29">
        <v>2007</v>
      </c>
      <c r="D29">
        <v>2010</v>
      </c>
      <c r="E29">
        <v>2014</v>
      </c>
      <c r="F29">
        <v>2018</v>
      </c>
      <c r="G29">
        <v>2022</v>
      </c>
      <c r="H29">
        <v>2024</v>
      </c>
    </row>
    <row r="30" spans="1:11" x14ac:dyDescent="0.3">
      <c r="B30" t="s">
        <v>4</v>
      </c>
      <c r="C30">
        <f>SUM(C8:C9)</f>
        <v>266.70999999999998</v>
      </c>
      <c r="D30">
        <f t="shared" ref="D30:H30" si="0">SUM(D8:D9)</f>
        <v>94.568830910453428</v>
      </c>
      <c r="E30">
        <f t="shared" si="0"/>
        <v>159.79000000000011</v>
      </c>
      <c r="F30">
        <f t="shared" si="0"/>
        <v>132.3730000000001</v>
      </c>
      <c r="G30">
        <f t="shared" si="0"/>
        <v>29.734999999999989</v>
      </c>
      <c r="H30">
        <f t="shared" si="0"/>
        <v>11.856000000000005</v>
      </c>
    </row>
    <row r="31" spans="1:11" x14ac:dyDescent="0.3">
      <c r="B31" t="s">
        <v>6</v>
      </c>
      <c r="C31">
        <f>SUM(C17)</f>
        <v>66.628799999999998</v>
      </c>
      <c r="D31">
        <f t="shared" ref="D31:H31" si="1">SUM(D17)</f>
        <v>65.585520000000002</v>
      </c>
      <c r="E31">
        <f t="shared" si="1"/>
        <v>48.293819999999997</v>
      </c>
      <c r="F31">
        <f t="shared" si="1"/>
        <v>49.583159999999999</v>
      </c>
      <c r="G31">
        <f t="shared" si="1"/>
        <v>36.217799999999997</v>
      </c>
      <c r="H31">
        <f t="shared" si="1"/>
        <v>30.513999999999989</v>
      </c>
    </row>
    <row r="32" spans="1:11" x14ac:dyDescent="0.3">
      <c r="B32" t="s">
        <v>7</v>
      </c>
      <c r="C32">
        <f>SUM(C3:C7,C13:C16)</f>
        <v>341.27640000000008</v>
      </c>
      <c r="D32">
        <f t="shared" ref="D32:H32" si="2">SUM(D3:D7,D13:D16)</f>
        <v>341.46359999999999</v>
      </c>
      <c r="E32">
        <f t="shared" si="2"/>
        <v>179.5431599999998</v>
      </c>
      <c r="F32">
        <f t="shared" si="2"/>
        <v>198.37367999999961</v>
      </c>
      <c r="G32">
        <f t="shared" si="2"/>
        <v>294.03450000000055</v>
      </c>
      <c r="H32">
        <f t="shared" si="2"/>
        <v>182.13954350934227</v>
      </c>
    </row>
    <row r="33" spans="1:8" x14ac:dyDescent="0.3">
      <c r="B33" t="s">
        <v>8</v>
      </c>
      <c r="C33">
        <f>SUM(C18)</f>
        <v>198.37</v>
      </c>
      <c r="D33">
        <f t="shared" ref="D33:H33" si="3">SUM(D18)</f>
        <v>218.93267982188161</v>
      </c>
      <c r="E33">
        <f t="shared" si="3"/>
        <v>211.76298686064999</v>
      </c>
      <c r="F33">
        <f t="shared" si="3"/>
        <v>196.4373620758995</v>
      </c>
      <c r="G33">
        <f t="shared" si="3"/>
        <v>218.93267982188161</v>
      </c>
      <c r="H33">
        <f t="shared" si="3"/>
        <v>215.94100000000009</v>
      </c>
    </row>
    <row r="34" spans="1:8" x14ac:dyDescent="0.3">
      <c r="B34" t="s">
        <v>9</v>
      </c>
      <c r="C34">
        <f>SUM(C11:C12,C25)</f>
        <v>109.87919999999998</v>
      </c>
      <c r="D34">
        <f t="shared" ref="D34:H34" si="4">SUM(D11:D12,D25)</f>
        <v>163.83959999999996</v>
      </c>
      <c r="E34">
        <f t="shared" si="4"/>
        <v>154.68839999999997</v>
      </c>
      <c r="F34">
        <f t="shared" si="4"/>
        <v>132.95339999999999</v>
      </c>
      <c r="G34">
        <f t="shared" si="4"/>
        <v>87.523920000000004</v>
      </c>
      <c r="H34">
        <f t="shared" si="4"/>
        <v>146.95559999999995</v>
      </c>
    </row>
    <row r="35" spans="1:8" x14ac:dyDescent="0.3">
      <c r="B35" t="s">
        <v>11</v>
      </c>
      <c r="C35">
        <f>SUM(C2)</f>
        <v>7.390620000000002</v>
      </c>
      <c r="D35">
        <f t="shared" ref="D35:H35" si="5">SUM(D2)</f>
        <v>11.47752</v>
      </c>
      <c r="E35">
        <f t="shared" si="5"/>
        <v>16.16976</v>
      </c>
      <c r="F35">
        <f t="shared" si="5"/>
        <v>16.422840000000001</v>
      </c>
      <c r="G35">
        <f t="shared" si="5"/>
        <v>19.505970000000008</v>
      </c>
      <c r="H35">
        <f t="shared" si="5"/>
        <v>18.19098</v>
      </c>
    </row>
    <row r="36" spans="1:8" x14ac:dyDescent="0.3">
      <c r="B36" t="s">
        <v>13</v>
      </c>
      <c r="C36">
        <f>SUM(C23:C24)</f>
        <v>94.277999999999992</v>
      </c>
      <c r="D36">
        <f t="shared" ref="D36:H36" si="6">SUM(D23:D24)</f>
        <v>169.19500000000005</v>
      </c>
      <c r="E36">
        <f t="shared" si="6"/>
        <v>177.88750000000007</v>
      </c>
      <c r="F36">
        <f t="shared" si="6"/>
        <v>174.06850000000003</v>
      </c>
      <c r="G36">
        <f t="shared" si="6"/>
        <v>218.00362155117051</v>
      </c>
      <c r="H36">
        <f t="shared" si="6"/>
        <v>222.89844034123342</v>
      </c>
    </row>
    <row r="37" spans="1:8" x14ac:dyDescent="0.3">
      <c r="B37" t="s">
        <v>65</v>
      </c>
      <c r="C37">
        <f>SUM(C19:C22)</f>
        <v>1.7613000000000001</v>
      </c>
      <c r="D37">
        <f t="shared" ref="D37:H37" si="7">SUM(D19:D22)</f>
        <v>24.576119999999985</v>
      </c>
      <c r="E37">
        <f t="shared" si="7"/>
        <v>47.397779999999997</v>
      </c>
      <c r="F37">
        <f t="shared" si="7"/>
        <v>51.652259999999998</v>
      </c>
      <c r="G37">
        <f t="shared" si="7"/>
        <v>122.17265999999989</v>
      </c>
      <c r="H37">
        <f t="shared" si="7"/>
        <v>199.34496000000001</v>
      </c>
    </row>
    <row r="38" spans="1:8" x14ac:dyDescent="0.3">
      <c r="B38" t="s">
        <v>67</v>
      </c>
      <c r="C38">
        <f>SUM(C10)</f>
        <v>0</v>
      </c>
      <c r="D38">
        <f t="shared" ref="D38:H38" si="8">SUM(D10)</f>
        <v>0.6</v>
      </c>
      <c r="E38">
        <f t="shared" si="8"/>
        <v>0</v>
      </c>
      <c r="F38">
        <f t="shared" si="8"/>
        <v>0</v>
      </c>
      <c r="G38">
        <f t="shared" si="8"/>
        <v>0.29749999999999999</v>
      </c>
      <c r="H38">
        <f t="shared" si="8"/>
        <v>0.27625</v>
      </c>
    </row>
    <row r="41" spans="1:8" x14ac:dyDescent="0.3">
      <c r="A41" t="s">
        <v>76</v>
      </c>
      <c r="C41">
        <v>2007</v>
      </c>
      <c r="D41">
        <v>2010</v>
      </c>
      <c r="E41">
        <v>2014</v>
      </c>
      <c r="F41">
        <v>2018</v>
      </c>
      <c r="G41">
        <v>2022</v>
      </c>
      <c r="H41">
        <v>2024</v>
      </c>
    </row>
    <row r="42" spans="1:8" x14ac:dyDescent="0.3">
      <c r="B42" t="s">
        <v>4</v>
      </c>
      <c r="C42">
        <v>266.70600000000002</v>
      </c>
      <c r="D42">
        <v>94.762799999999999</v>
      </c>
      <c r="E42">
        <v>163.06199999999998</v>
      </c>
      <c r="F42">
        <v>139.3776</v>
      </c>
      <c r="G42">
        <v>31.305599999999998</v>
      </c>
      <c r="H42">
        <v>12.477599999999999</v>
      </c>
    </row>
    <row r="43" spans="1:8" x14ac:dyDescent="0.3">
      <c r="B43" t="s">
        <v>6</v>
      </c>
      <c r="C43">
        <v>66.628799999999998</v>
      </c>
      <c r="D43">
        <v>59.623199999999997</v>
      </c>
      <c r="E43">
        <v>50.835599999999999</v>
      </c>
      <c r="F43">
        <v>52.192799999999998</v>
      </c>
      <c r="G43">
        <v>38.124000000000002</v>
      </c>
      <c r="H43">
        <v>32.842799999999997</v>
      </c>
    </row>
    <row r="44" spans="1:8" x14ac:dyDescent="0.3">
      <c r="B44" t="s">
        <v>7</v>
      </c>
      <c r="C44">
        <v>341.27639999999997</v>
      </c>
      <c r="D44">
        <v>341.46359999999999</v>
      </c>
      <c r="E44">
        <v>170.18279999999999</v>
      </c>
      <c r="F44">
        <v>208.81440000000001</v>
      </c>
      <c r="G44">
        <v>309.51</v>
      </c>
      <c r="H44">
        <v>188.3844</v>
      </c>
    </row>
    <row r="45" spans="1:8" x14ac:dyDescent="0.3">
      <c r="B45" t="s">
        <v>8</v>
      </c>
      <c r="C45">
        <v>198.3708</v>
      </c>
      <c r="D45">
        <v>223.16399999999999</v>
      </c>
      <c r="E45">
        <v>206.298</v>
      </c>
      <c r="F45">
        <v>200.7576</v>
      </c>
      <c r="G45">
        <v>210.92400000000001</v>
      </c>
      <c r="H45">
        <v>196.3152</v>
      </c>
    </row>
    <row r="46" spans="1:8" x14ac:dyDescent="0.3">
      <c r="B46" t="s">
        <v>9</v>
      </c>
      <c r="C46">
        <v>109.8792</v>
      </c>
      <c r="D46">
        <v>163.83959999999999</v>
      </c>
      <c r="E46">
        <v>154.6884</v>
      </c>
      <c r="F46">
        <v>132.49080000000001</v>
      </c>
      <c r="G46">
        <v>79.5672</v>
      </c>
      <c r="H46">
        <v>146.9556</v>
      </c>
    </row>
    <row r="47" spans="1:8" x14ac:dyDescent="0.3">
      <c r="B47" t="s">
        <v>11</v>
      </c>
      <c r="C47">
        <v>7.7795999999999994</v>
      </c>
      <c r="D47">
        <v>12.0816</v>
      </c>
      <c r="E47">
        <v>17.020800000000001</v>
      </c>
      <c r="F47">
        <v>18.561599999999999</v>
      </c>
      <c r="G47">
        <v>21.366</v>
      </c>
      <c r="H47">
        <v>19.148399999999999</v>
      </c>
    </row>
    <row r="48" spans="1:8" x14ac:dyDescent="0.3">
      <c r="B48" t="s">
        <v>13</v>
      </c>
      <c r="C48">
        <v>99.244799999999998</v>
      </c>
      <c r="D48">
        <v>159.37559999999999</v>
      </c>
      <c r="E48">
        <v>187.24680000000001</v>
      </c>
      <c r="F48">
        <v>183.22559999999999</v>
      </c>
      <c r="G48">
        <v>226.0224</v>
      </c>
      <c r="H48">
        <v>223.5204</v>
      </c>
    </row>
    <row r="49" spans="2:9" x14ac:dyDescent="0.3">
      <c r="B49" t="s">
        <v>65</v>
      </c>
      <c r="C49">
        <f t="shared" ref="C49:H49" si="9">SUM(D52+D53)</f>
        <v>1.8539999999999999</v>
      </c>
      <c r="D49">
        <f t="shared" si="9"/>
        <v>25.869599999999998</v>
      </c>
      <c r="E49">
        <f t="shared" si="9"/>
        <v>49.215599999999995</v>
      </c>
      <c r="F49">
        <f t="shared" si="9"/>
        <v>45.878399999999999</v>
      </c>
      <c r="G49">
        <f t="shared" si="9"/>
        <v>128.6028</v>
      </c>
      <c r="H49">
        <f t="shared" si="9"/>
        <v>209.85119999999998</v>
      </c>
    </row>
    <row r="50" spans="2:9" x14ac:dyDescent="0.3">
      <c r="B50" t="s">
        <v>67</v>
      </c>
      <c r="C50">
        <v>1.1663999999999999</v>
      </c>
      <c r="D50">
        <v>0.57240000000000002</v>
      </c>
      <c r="E50">
        <v>0</v>
      </c>
      <c r="F50">
        <v>0.33839999999999998</v>
      </c>
      <c r="G50">
        <v>1.0151999999999999</v>
      </c>
      <c r="H50">
        <v>0.87839999999999996</v>
      </c>
    </row>
    <row r="52" spans="2:9" x14ac:dyDescent="0.3">
      <c r="B52" t="s">
        <v>14</v>
      </c>
      <c r="C52">
        <v>0.44639999999999996</v>
      </c>
      <c r="D52">
        <v>1.8251999999999999</v>
      </c>
      <c r="E52">
        <v>23.13</v>
      </c>
      <c r="F52">
        <v>29.581199999999999</v>
      </c>
      <c r="G52">
        <v>28.357199999999999</v>
      </c>
      <c r="H52">
        <v>112.2732</v>
      </c>
      <c r="I52">
        <v>193.50719999999998</v>
      </c>
    </row>
    <row r="53" spans="2:9" x14ac:dyDescent="0.3">
      <c r="B53" t="s">
        <v>15</v>
      </c>
      <c r="C53">
        <v>0</v>
      </c>
      <c r="D53">
        <v>2.8799999999999999E-2</v>
      </c>
      <c r="E53">
        <v>2.7395999999999998</v>
      </c>
      <c r="F53">
        <v>19.634399999999999</v>
      </c>
      <c r="G53">
        <v>17.5212</v>
      </c>
      <c r="H53">
        <v>16.329599999999999</v>
      </c>
      <c r="I53">
        <v>16.344000000000001</v>
      </c>
    </row>
    <row r="56" spans="2:9" x14ac:dyDescent="0.3">
      <c r="B56" t="s">
        <v>71</v>
      </c>
      <c r="C56">
        <v>2007</v>
      </c>
      <c r="D56">
        <v>2010</v>
      </c>
      <c r="E56">
        <v>2014</v>
      </c>
      <c r="F56">
        <v>2018</v>
      </c>
      <c r="G56">
        <v>2022</v>
      </c>
      <c r="H56">
        <v>2024</v>
      </c>
    </row>
    <row r="57" spans="2:9" x14ac:dyDescent="0.3">
      <c r="B57" t="s">
        <v>4</v>
      </c>
      <c r="C57" s="5">
        <f>(C30-C42)/C42</f>
        <v>1.4997787826154102E-5</v>
      </c>
      <c r="D57" s="5">
        <f>(D30-D42)/D42</f>
        <v>-2.0468906527305042E-3</v>
      </c>
      <c r="E57" s="5">
        <f>(E30-E42)/E42</f>
        <v>-2.0065987170523346E-2</v>
      </c>
      <c r="F57" s="5">
        <f>(F30-F42)/F42</f>
        <v>-5.025628221464494E-2</v>
      </c>
      <c r="G57" s="5">
        <f>(G30-G42)/G42</f>
        <v>-5.0169937646938875E-2</v>
      </c>
      <c r="H57" s="5">
        <f>(H30-H42)/H42</f>
        <v>-4.9817272552413423E-2</v>
      </c>
    </row>
    <row r="58" spans="2:9" x14ac:dyDescent="0.3">
      <c r="B58" t="s">
        <v>6</v>
      </c>
      <c r="C58" s="5">
        <f>(C31-C43)/C43</f>
        <v>0</v>
      </c>
      <c r="D58" s="5">
        <f>(D31-D43)/D43</f>
        <v>0.10000000000000009</v>
      </c>
      <c r="E58" s="5">
        <f>(E31-E43)/E43</f>
        <v>-5.0000000000000058E-2</v>
      </c>
      <c r="F58" s="5">
        <f>(F31-F43)/F43</f>
        <v>-4.9999999999999982E-2</v>
      </c>
      <c r="G58" s="5">
        <f>(G31-G43)/G43</f>
        <v>-5.0000000000000142E-2</v>
      </c>
      <c r="H58" s="5">
        <f>(H31-H43)/H43</f>
        <v>-7.0907474393170147E-2</v>
      </c>
    </row>
    <row r="59" spans="2:9" x14ac:dyDescent="0.3">
      <c r="B59" t="s">
        <v>7</v>
      </c>
      <c r="C59" s="5">
        <f>(C32-C44)/C44</f>
        <v>3.3312247117473121E-16</v>
      </c>
      <c r="D59" s="5">
        <f>(D32-D44)/D44</f>
        <v>0</v>
      </c>
      <c r="E59" s="5">
        <f>(E32-E44)/E44</f>
        <v>5.5001798066548535E-2</v>
      </c>
      <c r="F59" s="5">
        <f>(F32-F44)/F44</f>
        <v>-5.0000000000001897E-2</v>
      </c>
      <c r="G59" s="5">
        <f>(G32-G44)/G44</f>
        <v>-4.9999999999998199E-2</v>
      </c>
      <c r="H59" s="5">
        <f>(H32-H44)/H44</f>
        <v>-3.314954152603785E-2</v>
      </c>
    </row>
    <row r="60" spans="2:9" x14ac:dyDescent="0.3">
      <c r="B60" t="s">
        <v>8</v>
      </c>
      <c r="C60" s="5">
        <f>(C33-C45)/C45</f>
        <v>-4.0328516091992146E-6</v>
      </c>
      <c r="D60" s="5">
        <f>(D33-D45)/D45</f>
        <v>-1.8960585838748101E-2</v>
      </c>
      <c r="E60" s="5">
        <f>(E33-E45)/E45</f>
        <v>2.6490740873154305E-2</v>
      </c>
      <c r="F60" s="5">
        <f>(F33-F45)/F45</f>
        <v>-2.1519673098804211E-2</v>
      </c>
      <c r="G60" s="5">
        <f>(G33-G45)/G45</f>
        <v>3.7969504759447006E-2</v>
      </c>
      <c r="H60" s="5">
        <f>(H33-H45)/H45</f>
        <v>9.9970863183289335E-2</v>
      </c>
    </row>
    <row r="61" spans="2:9" x14ac:dyDescent="0.3">
      <c r="B61" t="s">
        <v>9</v>
      </c>
      <c r="C61" s="5">
        <f>(C34-C46)/C46</f>
        <v>-1.2933161795136844E-16</v>
      </c>
      <c r="D61" s="5">
        <f>(D34-D46)/D46</f>
        <v>-1.7347277111518834E-16</v>
      </c>
      <c r="E61" s="5">
        <f>(E34-E46)/E46</f>
        <v>-1.8373523438347029E-16</v>
      </c>
      <c r="F61" s="5">
        <f>(F34-F46)/F46</f>
        <v>3.4915631877834577E-3</v>
      </c>
      <c r="G61" s="5">
        <f>(G34-G46)/G46</f>
        <v>0.10000000000000005</v>
      </c>
      <c r="H61" s="5">
        <f>(H34-H46)/H46</f>
        <v>-3.8680675565142133E-16</v>
      </c>
    </row>
    <row r="62" spans="2:9" x14ac:dyDescent="0.3">
      <c r="B62" t="s">
        <v>11</v>
      </c>
      <c r="C62" s="5">
        <f>(C35-C47)/C47</f>
        <v>-4.9999999999999677E-2</v>
      </c>
      <c r="D62" s="5">
        <f>(D35-D47)/D47</f>
        <v>-4.9999999999999975E-2</v>
      </c>
      <c r="E62" s="5">
        <f>(E35-E47)/E47</f>
        <v>-5.0000000000000065E-2</v>
      </c>
      <c r="F62" s="5">
        <f>(F35-F47)/F47</f>
        <v>-0.11522498060512014</v>
      </c>
      <c r="G62" s="5">
        <f>(G35-G47)/G47</f>
        <v>-8.7055602358887541E-2</v>
      </c>
      <c r="H62" s="5">
        <f>(H35-H47)/H47</f>
        <v>-4.9999999999999954E-2</v>
      </c>
    </row>
    <row r="63" spans="2:9" x14ac:dyDescent="0.3">
      <c r="B63" t="s">
        <v>13</v>
      </c>
      <c r="C63" s="5">
        <f>(C36-C48)/C48</f>
        <v>-5.0045946991681238E-2</v>
      </c>
      <c r="D63" s="5">
        <f>(D36-D48)/D48</f>
        <v>6.1611689618737489E-2</v>
      </c>
      <c r="E63" s="5">
        <f>(E36-E48)/E48</f>
        <v>-4.9983764742574682E-2</v>
      </c>
      <c r="F63" s="5">
        <f>(F36-F48)/F48</f>
        <v>-4.9977186594012832E-2</v>
      </c>
      <c r="G63" s="5">
        <f>(G36-G48)/G48</f>
        <v>-3.547780418591031E-2</v>
      </c>
      <c r="H63" s="5">
        <f>(H36-H48)/H48</f>
        <v>-2.7825632862439873E-3</v>
      </c>
    </row>
    <row r="64" spans="2:9" x14ac:dyDescent="0.3">
      <c r="B64" t="s">
        <v>65</v>
      </c>
      <c r="C64" s="5">
        <f>(C37-C49)/C49</f>
        <v>-4.9999999999999885E-2</v>
      </c>
      <c r="D64" s="5">
        <f>(D37-D49)/D49</f>
        <v>-5.0000000000000509E-2</v>
      </c>
      <c r="E64" s="5">
        <f>(E37-E49)/E49</f>
        <v>-3.6935849608660622E-2</v>
      </c>
      <c r="F64" s="5">
        <f>(F37-F49)/F49</f>
        <v>0.12585138104205898</v>
      </c>
      <c r="G64" s="5">
        <f>(G37-G49)/G49</f>
        <v>-5.0000000000000842E-2</v>
      </c>
      <c r="H64" s="5">
        <f>(H37-H49)/H49</f>
        <v>-5.0065189048239721E-2</v>
      </c>
    </row>
    <row r="65" spans="2:9" x14ac:dyDescent="0.3">
      <c r="B65" t="s">
        <v>67</v>
      </c>
      <c r="C65" s="5">
        <f>(C38-C50)/C50</f>
        <v>-1</v>
      </c>
      <c r="D65" s="5">
        <f>(D38-D50)/D50</f>
        <v>4.8218029350104746E-2</v>
      </c>
      <c r="E65" s="5" t="e">
        <f>(E38-E50)/E50</f>
        <v>#DIV/0!</v>
      </c>
      <c r="F65" s="5">
        <f>(F38-F50)/F50</f>
        <v>-1</v>
      </c>
      <c r="G65" s="5">
        <f>(G38-G50)/G50</f>
        <v>-0.70695429472025217</v>
      </c>
      <c r="H65" s="5">
        <f>(H38-H50)/H50</f>
        <v>-0.68550774134790526</v>
      </c>
    </row>
    <row r="67" spans="2:9" x14ac:dyDescent="0.3">
      <c r="B67" t="s">
        <v>75</v>
      </c>
      <c r="C67" s="7">
        <f>SUM(C30:C38)-SUM(C42:C50)</f>
        <v>-6.6116800000002058</v>
      </c>
      <c r="D67" s="7">
        <f>SUM(D30:D38)-SUM(D42:D50)</f>
        <v>9.4864707323349649</v>
      </c>
      <c r="E67" s="7">
        <f>SUM(E30:E38)-SUM(E42:E50)</f>
        <v>-3.0165931393499932</v>
      </c>
      <c r="F67" s="7">
        <f>SUM(F30:F38)-SUM(F42:F50)</f>
        <v>-29.772997924100991</v>
      </c>
      <c r="G67" s="7">
        <f>SUM(G30:G38)-SUM(G42:G50)</f>
        <v>-20.013548626947568</v>
      </c>
      <c r="H67" s="7">
        <f>SUM(H30:H38)-SUM(H42:H50)</f>
        <v>-2.2572261494244685</v>
      </c>
      <c r="I67" t="s">
        <v>31</v>
      </c>
    </row>
    <row r="68" spans="2:9" x14ac:dyDescent="0.3">
      <c r="C68" s="5">
        <f>C67/SUM(C42:C50)</f>
        <v>-6.0496328138011915E-3</v>
      </c>
      <c r="D68" s="5">
        <f t="shared" ref="D68:H68" si="10">D67/SUM(D42:D50)</f>
        <v>8.7776540975851303E-3</v>
      </c>
      <c r="E68" s="5">
        <f t="shared" si="10"/>
        <v>-3.0209735509989419E-3</v>
      </c>
      <c r="F68" s="5">
        <f t="shared" si="10"/>
        <v>-3.0329940556552859E-2</v>
      </c>
      <c r="G68" s="5">
        <f t="shared" si="10"/>
        <v>-1.9125417776573277E-2</v>
      </c>
      <c r="H68" s="5">
        <f t="shared" si="10"/>
        <v>-2.1906862454064919E-3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ELC_Generation</vt:lpstr>
      <vt:lpstr>ImpExp</vt:lpstr>
      <vt:lpstr>Emissions</vt:lpstr>
      <vt:lpstr>ELC_Consumption</vt:lpstr>
      <vt:lpstr>Computations</vt:lpstr>
      <vt:lpstr>Cal_Emission</vt:lpstr>
      <vt:lpstr>Cal_Generation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MAFFIODO RICCARDO VITTORIO</cp:lastModifiedBy>
  <dcterms:created xsi:type="dcterms:W3CDTF">2026-06-02T18:21:07Z</dcterms:created>
  <dcterms:modified xsi:type="dcterms:W3CDTF">2026-06-09T17:26:46Z</dcterms:modified>
</cp:coreProperties>
</file>
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toit-my.sharepoint.com/personal/s347160_studenti_polito_it/Documents/Desktop/"/>
    </mc:Choice>
  </mc:AlternateContent>
  <xr:revisionPtr revIDLastSave="54" documentId="8_{76AE923E-6FFF-4F14-83BA-5326F1D8B3E3}" xr6:coauthVersionLast="47" xr6:coauthVersionMax="47" xr10:uidLastSave="{CC5A3932-19C3-454E-BF7C-61EE67DA7F33}"/>
  <bookViews>
    <workbookView xWindow="-108" yWindow="-108" windowWidth="23256" windowHeight="12456" activeTab="3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4" l="1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L3" i="1"/>
  <c r="J4" i="2"/>
  <c r="K4" i="2"/>
  <c r="L4" i="2"/>
  <c r="M4" i="2"/>
  <c r="N4" i="2"/>
  <c r="O4" i="2"/>
  <c r="P4" i="2"/>
  <c r="Q4" i="2"/>
  <c r="R4" i="2"/>
  <c r="R5" i="2" s="1"/>
  <c r="S4" i="2"/>
  <c r="T4" i="2"/>
  <c r="T5" i="2" s="1"/>
  <c r="U4" i="2"/>
  <c r="V4" i="2"/>
  <c r="W4" i="2"/>
  <c r="X4" i="2"/>
  <c r="Y4" i="2"/>
  <c r="Z4" i="2"/>
  <c r="AA4" i="2"/>
  <c r="AB4" i="2"/>
  <c r="AC4" i="2"/>
  <c r="AD4" i="2"/>
  <c r="AD5" i="2" s="1"/>
  <c r="AE4" i="2"/>
  <c r="AF4" i="2"/>
  <c r="AF5" i="2" s="1"/>
  <c r="AG4" i="2"/>
  <c r="AG5" i="2" s="1"/>
  <c r="AH4" i="2"/>
  <c r="K3" i="2"/>
  <c r="L3" i="2"/>
  <c r="M3" i="2"/>
  <c r="N3" i="2"/>
  <c r="O3" i="2"/>
  <c r="O5" i="2" s="1"/>
  <c r="P3" i="2"/>
  <c r="Q3" i="2"/>
  <c r="R3" i="2"/>
  <c r="S3" i="2"/>
  <c r="S5" i="2" s="1"/>
  <c r="T3" i="2"/>
  <c r="U3" i="2"/>
  <c r="V3" i="2"/>
  <c r="W3" i="2"/>
  <c r="X3" i="2"/>
  <c r="Y3" i="2"/>
  <c r="Z3" i="2"/>
  <c r="AA3" i="2"/>
  <c r="AA5" i="2" s="1"/>
  <c r="AB3" i="2"/>
  <c r="AC3" i="2"/>
  <c r="AD3" i="2"/>
  <c r="AE3" i="2"/>
  <c r="AF3" i="2"/>
  <c r="AG3" i="2"/>
  <c r="AH3" i="2"/>
  <c r="AH5" i="2" s="1"/>
  <c r="J3" i="2"/>
  <c r="J5" i="2" s="1"/>
  <c r="P5" i="2"/>
  <c r="Q5" i="2"/>
  <c r="AB5" i="2"/>
  <c r="AC5" i="2"/>
  <c r="K5" i="2"/>
  <c r="L5" i="2"/>
  <c r="M5" i="2"/>
  <c r="N5" i="2"/>
  <c r="V5" i="2"/>
  <c r="W5" i="2"/>
  <c r="X5" i="2"/>
  <c r="Y5" i="2"/>
  <c r="Z5" i="2"/>
  <c r="B4" i="5"/>
  <c r="B7" i="5"/>
  <c r="D2" i="5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J3" i="3"/>
  <c r="AE5" i="2" l="1"/>
  <c r="U5" i="2"/>
</calcChain>
</file>

<file path=xl/sharedStrings.xml><?xml version="1.0" encoding="utf-8"?>
<sst xmlns="http://schemas.openxmlformats.org/spreadsheetml/2006/main" count="969" uniqueCount="33">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</sst>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2" fontId="0" fillId="0" borderId="0" xfId="0" applyNumberFormat="1"/>
    <xf numFmtId="0" fontId="0" fillId="0" borderId="0" xfId="0" applyAlignment="1">
      <alignment horizontal="center"/>
    </xf>
  </cellXfs>
  <cellStyles count="43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ELC_Generation!$L$3:$AJ$3</c:f>
              <c:numCache>
                <c:formatCode>General</c:formatCode>
                <c:ptCount val="25"/>
                <c:pt idx="0">
                  <c:v>291.08879999999999</c:v>
                </c:pt>
                <c:pt idx="1">
                  <c:v>258.24239999999998</c:v>
                </c:pt>
                <c:pt idx="2">
                  <c:v>296.84519999999998</c:v>
                </c:pt>
                <c:pt idx="3">
                  <c:v>273.43799999999999</c:v>
                </c:pt>
                <c:pt idx="4">
                  <c:v>289.1628</c:v>
                </c:pt>
                <c:pt idx="5">
                  <c:v>290.76119999999997</c:v>
                </c:pt>
                <c:pt idx="6">
                  <c:v>244.7208</c:v>
                </c:pt>
                <c:pt idx="7">
                  <c:v>266.70600000000002</c:v>
                </c:pt>
                <c:pt idx="8">
                  <c:v>179.90279999999998</c:v>
                </c:pt>
                <c:pt idx="9">
                  <c:v>132.9768</c:v>
                </c:pt>
                <c:pt idx="10">
                  <c:v>94.762799999999999</c:v>
                </c:pt>
                <c:pt idx="11">
                  <c:v>162.45359999999999</c:v>
                </c:pt>
                <c:pt idx="12">
                  <c:v>201.5676</c:v>
                </c:pt>
                <c:pt idx="13">
                  <c:v>148.79519999999999</c:v>
                </c:pt>
                <c:pt idx="14">
                  <c:v>163.06199999999998</c:v>
                </c:pt>
                <c:pt idx="15">
                  <c:v>189.6336</c:v>
                </c:pt>
                <c:pt idx="16">
                  <c:v>134.83079999999998</c:v>
                </c:pt>
                <c:pt idx="17">
                  <c:v>166.85640000000001</c:v>
                </c:pt>
                <c:pt idx="18">
                  <c:v>139.3776</c:v>
                </c:pt>
                <c:pt idx="19">
                  <c:v>50.3352</c:v>
                </c:pt>
                <c:pt idx="20">
                  <c:v>22.136399999999998</c:v>
                </c:pt>
                <c:pt idx="21">
                  <c:v>21.650399999999998</c:v>
                </c:pt>
                <c:pt idx="22">
                  <c:v>31.305599999999998</c:v>
                </c:pt>
                <c:pt idx="23">
                  <c:v>16.02</c:v>
                </c:pt>
                <c:pt idx="24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ELC_Generation!$L$4:$AJ$4</c:f>
              <c:numCache>
                <c:formatCode>General</c:formatCode>
                <c:ptCount val="25"/>
                <c:pt idx="0">
                  <c:v>81.280799999999999</c:v>
                </c:pt>
                <c:pt idx="1">
                  <c:v>88.675200000000004</c:v>
                </c:pt>
                <c:pt idx="2">
                  <c:v>102.9348</c:v>
                </c:pt>
                <c:pt idx="3">
                  <c:v>86.407200000000003</c:v>
                </c:pt>
                <c:pt idx="4">
                  <c:v>85.820399999999992</c:v>
                </c:pt>
                <c:pt idx="5">
                  <c:v>87.911999999999992</c:v>
                </c:pt>
                <c:pt idx="6">
                  <c:v>85.784399999999991</c:v>
                </c:pt>
                <c:pt idx="7">
                  <c:v>66.628799999999998</c:v>
                </c:pt>
                <c:pt idx="8">
                  <c:v>64.807199999999995</c:v>
                </c:pt>
                <c:pt idx="9">
                  <c:v>69.271199999999993</c:v>
                </c:pt>
                <c:pt idx="10">
                  <c:v>59.623199999999997</c:v>
                </c:pt>
                <c:pt idx="11">
                  <c:v>52.891199999999998</c:v>
                </c:pt>
                <c:pt idx="12">
                  <c:v>55.1556</c:v>
                </c:pt>
                <c:pt idx="13">
                  <c:v>49.546799999999998</c:v>
                </c:pt>
                <c:pt idx="14">
                  <c:v>50.835599999999999</c:v>
                </c:pt>
                <c:pt idx="15">
                  <c:v>62.067599999999999</c:v>
                </c:pt>
                <c:pt idx="16">
                  <c:v>60.915599999999998</c:v>
                </c:pt>
                <c:pt idx="17">
                  <c:v>56.757599999999996</c:v>
                </c:pt>
                <c:pt idx="18">
                  <c:v>52.192799999999998</c:v>
                </c:pt>
                <c:pt idx="19">
                  <c:v>46.378799999999998</c:v>
                </c:pt>
                <c:pt idx="20">
                  <c:v>38.534399999999998</c:v>
                </c:pt>
                <c:pt idx="21">
                  <c:v>36.1584</c:v>
                </c:pt>
                <c:pt idx="22">
                  <c:v>38.124000000000002</c:v>
                </c:pt>
                <c:pt idx="23">
                  <c:v>33.436799999999998</c:v>
                </c:pt>
                <c:pt idx="24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ELC_Generation!$L$5:$AJ$5</c:f>
              <c:numCache>
                <c:formatCode>General</c:formatCode>
                <c:ptCount val="25"/>
                <c:pt idx="0">
                  <c:v>72.640799999999999</c:v>
                </c:pt>
                <c:pt idx="1">
                  <c:v>84.088799999999992</c:v>
                </c:pt>
                <c:pt idx="2">
                  <c:v>116.58959999999999</c:v>
                </c:pt>
                <c:pt idx="3">
                  <c:v>141.72479999999999</c:v>
                </c:pt>
                <c:pt idx="4">
                  <c:v>199.65600000000001</c:v>
                </c:pt>
                <c:pt idx="5">
                  <c:v>284.43959999999998</c:v>
                </c:pt>
                <c:pt idx="6">
                  <c:v>326.05199999999996</c:v>
                </c:pt>
                <c:pt idx="7">
                  <c:v>341.27639999999997</c:v>
                </c:pt>
                <c:pt idx="8">
                  <c:v>434.87279999999998</c:v>
                </c:pt>
                <c:pt idx="9">
                  <c:v>387.88560000000001</c:v>
                </c:pt>
                <c:pt idx="10">
                  <c:v>341.46359999999999</c:v>
                </c:pt>
                <c:pt idx="11">
                  <c:v>307.8288</c:v>
                </c:pt>
                <c:pt idx="12">
                  <c:v>263.90879999999999</c:v>
                </c:pt>
                <c:pt idx="13">
                  <c:v>207.12959999999998</c:v>
                </c:pt>
                <c:pt idx="14">
                  <c:v>170.18279999999999</c:v>
                </c:pt>
                <c:pt idx="15">
                  <c:v>188.99279999999999</c:v>
                </c:pt>
                <c:pt idx="16">
                  <c:v>190.15199999999999</c:v>
                </c:pt>
                <c:pt idx="17">
                  <c:v>230.53319999999999</c:v>
                </c:pt>
                <c:pt idx="18">
                  <c:v>208.81440000000001</c:v>
                </c:pt>
                <c:pt idx="19">
                  <c:v>301.33080000000001</c:v>
                </c:pt>
                <c:pt idx="20">
                  <c:v>251.06039999999999</c:v>
                </c:pt>
                <c:pt idx="21">
                  <c:v>257.40719999999999</c:v>
                </c:pt>
                <c:pt idx="22">
                  <c:v>309.51</c:v>
                </c:pt>
                <c:pt idx="23">
                  <c:v>231.3792</c:v>
                </c:pt>
                <c:pt idx="24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ELC_Generation!$L$6:$AJ$6</c:f>
              <c:numCache>
                <c:formatCode>General</c:formatCode>
                <c:ptCount val="25"/>
                <c:pt idx="0">
                  <c:v>223.94159999999999</c:v>
                </c:pt>
                <c:pt idx="1">
                  <c:v>229.34879999999998</c:v>
                </c:pt>
                <c:pt idx="2">
                  <c:v>226.85759999999999</c:v>
                </c:pt>
                <c:pt idx="3">
                  <c:v>222.75</c:v>
                </c:pt>
                <c:pt idx="4">
                  <c:v>228.98159999999999</c:v>
                </c:pt>
                <c:pt idx="5">
                  <c:v>207.1404</c:v>
                </c:pt>
                <c:pt idx="6">
                  <c:v>216.45359999999999</c:v>
                </c:pt>
                <c:pt idx="7">
                  <c:v>198.3708</c:v>
                </c:pt>
                <c:pt idx="8">
                  <c:v>212.30279999999999</c:v>
                </c:pt>
                <c:pt idx="9">
                  <c:v>189.93959999999998</c:v>
                </c:pt>
                <c:pt idx="10">
                  <c:v>223.16399999999999</c:v>
                </c:pt>
                <c:pt idx="11">
                  <c:v>207.78479999999999</c:v>
                </c:pt>
                <c:pt idx="12">
                  <c:v>221.292</c:v>
                </c:pt>
                <c:pt idx="13">
                  <c:v>204.21359999999999</c:v>
                </c:pt>
                <c:pt idx="14">
                  <c:v>206.298</c:v>
                </c:pt>
                <c:pt idx="15">
                  <c:v>205.90559999999999</c:v>
                </c:pt>
                <c:pt idx="16">
                  <c:v>211.0788</c:v>
                </c:pt>
                <c:pt idx="17">
                  <c:v>208.94039999999998</c:v>
                </c:pt>
                <c:pt idx="18">
                  <c:v>200.7576</c:v>
                </c:pt>
                <c:pt idx="19">
                  <c:v>210.0564</c:v>
                </c:pt>
                <c:pt idx="20">
                  <c:v>209.87639999999999</c:v>
                </c:pt>
                <c:pt idx="21">
                  <c:v>203.63039999999998</c:v>
                </c:pt>
                <c:pt idx="22">
                  <c:v>210.92400000000001</c:v>
                </c:pt>
                <c:pt idx="23">
                  <c:v>204.74279999999999</c:v>
                </c:pt>
                <c:pt idx="24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ELC_Generation!$L$7:$AJ$7</c:f>
              <c:numCache>
                <c:formatCode>General</c:formatCode>
                <c:ptCount val="25"/>
                <c:pt idx="0">
                  <c:v>114.5052</c:v>
                </c:pt>
                <c:pt idx="1">
                  <c:v>157.91040000000001</c:v>
                </c:pt>
                <c:pt idx="2">
                  <c:v>94.572000000000003</c:v>
                </c:pt>
                <c:pt idx="3">
                  <c:v>158.0292</c:v>
                </c:pt>
                <c:pt idx="4">
                  <c:v>123.9804</c:v>
                </c:pt>
                <c:pt idx="5">
                  <c:v>82.89</c:v>
                </c:pt>
                <c:pt idx="6">
                  <c:v>107.3916</c:v>
                </c:pt>
                <c:pt idx="7">
                  <c:v>109.8792</c:v>
                </c:pt>
                <c:pt idx="8">
                  <c:v>94.118399999999994</c:v>
                </c:pt>
                <c:pt idx="9">
                  <c:v>104.9832</c:v>
                </c:pt>
                <c:pt idx="10">
                  <c:v>163.83959999999999</c:v>
                </c:pt>
                <c:pt idx="11">
                  <c:v>118.47959999999999</c:v>
                </c:pt>
                <c:pt idx="12">
                  <c:v>86.983199999999997</c:v>
                </c:pt>
                <c:pt idx="13">
                  <c:v>147.78719999999998</c:v>
                </c:pt>
                <c:pt idx="14">
                  <c:v>154.6884</c:v>
                </c:pt>
                <c:pt idx="15">
                  <c:v>112.92479999999999</c:v>
                </c:pt>
                <c:pt idx="16">
                  <c:v>143.51400000000001</c:v>
                </c:pt>
                <c:pt idx="17">
                  <c:v>75.852000000000004</c:v>
                </c:pt>
                <c:pt idx="18">
                  <c:v>132.49080000000001</c:v>
                </c:pt>
                <c:pt idx="19">
                  <c:v>96.746399999999994</c:v>
                </c:pt>
                <c:pt idx="20">
                  <c:v>122.39279999999999</c:v>
                </c:pt>
                <c:pt idx="21">
                  <c:v>118.2492</c:v>
                </c:pt>
                <c:pt idx="22">
                  <c:v>79.5672</c:v>
                </c:pt>
                <c:pt idx="23">
                  <c:v>111.97799999999999</c:v>
                </c:pt>
                <c:pt idx="24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ELC_Generation!$L$8:$AJ$8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7.1999999999999995E-2</c:v>
                </c:pt>
                <c:pt idx="20">
                  <c:v>9.7199999999999995E-2</c:v>
                </c:pt>
                <c:pt idx="21">
                  <c:v>6.8400000000000002E-2</c:v>
                </c:pt>
                <c:pt idx="22">
                  <c:v>8.2799999999999999E-2</c:v>
                </c:pt>
                <c:pt idx="23">
                  <c:v>4.3200000000000002E-2</c:v>
                </c:pt>
                <c:pt idx="24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ELC_Generation!$L$9:$AJ$9</c:f>
              <c:numCache>
                <c:formatCode>General</c:formatCode>
                <c:ptCount val="25"/>
                <c:pt idx="0">
                  <c:v>4.1723999999999997</c:v>
                </c:pt>
                <c:pt idx="1">
                  <c:v>4.6692</c:v>
                </c:pt>
                <c:pt idx="2">
                  <c:v>8.2907999999999991</c:v>
                </c:pt>
                <c:pt idx="3">
                  <c:v>10.270799999999999</c:v>
                </c:pt>
                <c:pt idx="4">
                  <c:v>10.9404</c:v>
                </c:pt>
                <c:pt idx="5">
                  <c:v>7.9272</c:v>
                </c:pt>
                <c:pt idx="6">
                  <c:v>7.8228</c:v>
                </c:pt>
                <c:pt idx="7">
                  <c:v>7.7795999999999994</c:v>
                </c:pt>
                <c:pt idx="8">
                  <c:v>8.9027999999999992</c:v>
                </c:pt>
                <c:pt idx="9">
                  <c:v>9.8171999999999997</c:v>
                </c:pt>
                <c:pt idx="10">
                  <c:v>12.0816</c:v>
                </c:pt>
                <c:pt idx="11">
                  <c:v>13.730399999999999</c:v>
                </c:pt>
                <c:pt idx="12">
                  <c:v>15.3432</c:v>
                </c:pt>
                <c:pt idx="13">
                  <c:v>18.4176</c:v>
                </c:pt>
                <c:pt idx="14">
                  <c:v>17.020800000000001</c:v>
                </c:pt>
                <c:pt idx="15">
                  <c:v>17.985599999999998</c:v>
                </c:pt>
                <c:pt idx="16">
                  <c:v>17.834399999999999</c:v>
                </c:pt>
                <c:pt idx="17">
                  <c:v>19.101600000000001</c:v>
                </c:pt>
                <c:pt idx="18">
                  <c:v>18.561599999999999</c:v>
                </c:pt>
                <c:pt idx="19">
                  <c:v>17.287199999999999</c:v>
                </c:pt>
                <c:pt idx="20">
                  <c:v>19.565999999999999</c:v>
                </c:pt>
                <c:pt idx="21">
                  <c:v>21.916799999999999</c:v>
                </c:pt>
                <c:pt idx="22">
                  <c:v>21.366</c:v>
                </c:pt>
                <c:pt idx="23">
                  <c:v>18.223199999999999</c:v>
                </c:pt>
                <c:pt idx="24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ELC_Generation!$L$10:$AJ$10</c:f>
              <c:numCache>
                <c:formatCode>General</c:formatCode>
                <c:ptCount val="25"/>
                <c:pt idx="0">
                  <c:v>3.3875999999999999</c:v>
                </c:pt>
                <c:pt idx="1">
                  <c:v>2.4011999999999998</c:v>
                </c:pt>
                <c:pt idx="2">
                  <c:v>2.0375999999999999</c:v>
                </c:pt>
                <c:pt idx="3">
                  <c:v>2.3795999999999999</c:v>
                </c:pt>
                <c:pt idx="4">
                  <c:v>2.0951999999999997</c:v>
                </c:pt>
                <c:pt idx="5">
                  <c:v>3.2471999999999999</c:v>
                </c:pt>
                <c:pt idx="6">
                  <c:v>4.3271999999999995</c:v>
                </c:pt>
                <c:pt idx="7">
                  <c:v>5.3064</c:v>
                </c:pt>
                <c:pt idx="8">
                  <c:v>5.6303999999999998</c:v>
                </c:pt>
                <c:pt idx="9">
                  <c:v>5.4791999999999996</c:v>
                </c:pt>
                <c:pt idx="10">
                  <c:v>4.7447999999999997</c:v>
                </c:pt>
                <c:pt idx="11">
                  <c:v>5.7240000000000002</c:v>
                </c:pt>
                <c:pt idx="12">
                  <c:v>5.1479999999999997</c:v>
                </c:pt>
                <c:pt idx="13">
                  <c:v>4.9104000000000001</c:v>
                </c:pt>
                <c:pt idx="14">
                  <c:v>4.9391999999999996</c:v>
                </c:pt>
                <c:pt idx="15">
                  <c:v>5.5296000000000003</c:v>
                </c:pt>
                <c:pt idx="16">
                  <c:v>5.2919999999999998</c:v>
                </c:pt>
                <c:pt idx="17">
                  <c:v>5.5583999999999998</c:v>
                </c:pt>
                <c:pt idx="18">
                  <c:v>6.39</c:v>
                </c:pt>
                <c:pt idx="19">
                  <c:v>6.3179999999999996</c:v>
                </c:pt>
                <c:pt idx="20">
                  <c:v>6.3035999999999994</c:v>
                </c:pt>
                <c:pt idx="21">
                  <c:v>6.4619999999999997</c:v>
                </c:pt>
                <c:pt idx="22">
                  <c:v>6.3144</c:v>
                </c:pt>
                <c:pt idx="23">
                  <c:v>6.0587999999999997</c:v>
                </c:pt>
                <c:pt idx="24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ELC_Generation!$L$11:$AJ$11</c:f>
              <c:numCache>
                <c:formatCode>General</c:formatCode>
                <c:ptCount val="25"/>
                <c:pt idx="0">
                  <c:v>17.017199999999999</c:v>
                </c:pt>
                <c:pt idx="1">
                  <c:v>24.3324</c:v>
                </c:pt>
                <c:pt idx="2">
                  <c:v>33.6312</c:v>
                </c:pt>
                <c:pt idx="3">
                  <c:v>43.47</c:v>
                </c:pt>
                <c:pt idx="4">
                  <c:v>56.519999999999996</c:v>
                </c:pt>
                <c:pt idx="5">
                  <c:v>76.233599999999996</c:v>
                </c:pt>
                <c:pt idx="6">
                  <c:v>83.869199999999992</c:v>
                </c:pt>
                <c:pt idx="7">
                  <c:v>99.244799999999998</c:v>
                </c:pt>
                <c:pt idx="8">
                  <c:v>118.6056</c:v>
                </c:pt>
                <c:pt idx="9">
                  <c:v>137.22120000000001</c:v>
                </c:pt>
                <c:pt idx="10">
                  <c:v>159.37559999999999</c:v>
                </c:pt>
                <c:pt idx="11">
                  <c:v>154.50479999999999</c:v>
                </c:pt>
                <c:pt idx="12">
                  <c:v>178.0992</c:v>
                </c:pt>
                <c:pt idx="13">
                  <c:v>200.32560000000001</c:v>
                </c:pt>
                <c:pt idx="14">
                  <c:v>187.24680000000001</c:v>
                </c:pt>
                <c:pt idx="15">
                  <c:v>177.57</c:v>
                </c:pt>
                <c:pt idx="16">
                  <c:v>176.05799999999999</c:v>
                </c:pt>
                <c:pt idx="17">
                  <c:v>176.85720000000001</c:v>
                </c:pt>
                <c:pt idx="18">
                  <c:v>183.22559999999999</c:v>
                </c:pt>
                <c:pt idx="19">
                  <c:v>200.32919999999999</c:v>
                </c:pt>
                <c:pt idx="20">
                  <c:v>203.19839999999999</c:v>
                </c:pt>
                <c:pt idx="21">
                  <c:v>223.4196</c:v>
                </c:pt>
                <c:pt idx="22">
                  <c:v>226.0224</c:v>
                </c:pt>
                <c:pt idx="23">
                  <c:v>231.39</c:v>
                </c:pt>
                <c:pt idx="24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ELC_Generation!$L$12:$AJ$12</c:f>
              <c:numCache>
                <c:formatCode>General</c:formatCode>
                <c:ptCount val="25"/>
                <c:pt idx="0">
                  <c:v>5.04E-2</c:v>
                </c:pt>
                <c:pt idx="1">
                  <c:v>6.1199999999999997E-2</c:v>
                </c:pt>
                <c:pt idx="2">
                  <c:v>6.4799999999999996E-2</c:v>
                </c:pt>
                <c:pt idx="3">
                  <c:v>7.1999999999999995E-2</c:v>
                </c:pt>
                <c:pt idx="4">
                  <c:v>8.2799999999999999E-2</c:v>
                </c:pt>
                <c:pt idx="5">
                  <c:v>0.16919999999999999</c:v>
                </c:pt>
                <c:pt idx="6">
                  <c:v>0.44639999999999996</c:v>
                </c:pt>
                <c:pt idx="7">
                  <c:v>1.8251999999999999</c:v>
                </c:pt>
                <c:pt idx="8">
                  <c:v>9.2232000000000003</c:v>
                </c:pt>
                <c:pt idx="9">
                  <c:v>21.459599999999998</c:v>
                </c:pt>
                <c:pt idx="10">
                  <c:v>23.13</c:v>
                </c:pt>
                <c:pt idx="11">
                  <c:v>26.783999999999999</c:v>
                </c:pt>
                <c:pt idx="12">
                  <c:v>29.491199999999999</c:v>
                </c:pt>
                <c:pt idx="13">
                  <c:v>29.973599999999998</c:v>
                </c:pt>
                <c:pt idx="14">
                  <c:v>29.581199999999999</c:v>
                </c:pt>
                <c:pt idx="15">
                  <c:v>29.7576</c:v>
                </c:pt>
                <c:pt idx="16">
                  <c:v>29.026799999999998</c:v>
                </c:pt>
                <c:pt idx="17">
                  <c:v>30.650399999999998</c:v>
                </c:pt>
                <c:pt idx="18">
                  <c:v>28.357199999999999</c:v>
                </c:pt>
                <c:pt idx="19">
                  <c:v>33.911999999999999</c:v>
                </c:pt>
                <c:pt idx="20">
                  <c:v>56.43</c:v>
                </c:pt>
                <c:pt idx="21">
                  <c:v>78.919200000000004</c:v>
                </c:pt>
                <c:pt idx="22">
                  <c:v>112.2732</c:v>
                </c:pt>
                <c:pt idx="23">
                  <c:v>156.31559999999999</c:v>
                </c:pt>
                <c:pt idx="24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ELC_Generation!$L$13:$AJ$13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2.8799999999999999E-2</c:v>
                </c:pt>
                <c:pt idx="8">
                  <c:v>5.7599999999999998E-2</c:v>
                </c:pt>
                <c:pt idx="9">
                  <c:v>0.37079999999999996</c:v>
                </c:pt>
                <c:pt idx="10">
                  <c:v>2.7395999999999998</c:v>
                </c:pt>
                <c:pt idx="11">
                  <c:v>7.0523999999999996</c:v>
                </c:pt>
                <c:pt idx="12">
                  <c:v>13.59</c:v>
                </c:pt>
                <c:pt idx="13">
                  <c:v>17.168399999999998</c:v>
                </c:pt>
                <c:pt idx="14">
                  <c:v>19.634399999999999</c:v>
                </c:pt>
                <c:pt idx="15">
                  <c:v>20.134799999999998</c:v>
                </c:pt>
                <c:pt idx="16">
                  <c:v>20.084399999999999</c:v>
                </c:pt>
                <c:pt idx="17">
                  <c:v>21.178799999999999</c:v>
                </c:pt>
                <c:pt idx="18">
                  <c:v>17.5212</c:v>
                </c:pt>
                <c:pt idx="19">
                  <c:v>20.4588</c:v>
                </c:pt>
                <c:pt idx="20">
                  <c:v>17.9712</c:v>
                </c:pt>
                <c:pt idx="21">
                  <c:v>18.633599999999998</c:v>
                </c:pt>
                <c:pt idx="22">
                  <c:v>16.329599999999999</c:v>
                </c:pt>
                <c:pt idx="23">
                  <c:v>18.594000000000001</c:v>
                </c:pt>
                <c:pt idx="24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ELC_Generation!$L$14:$AJ$14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10.6668</c:v>
                </c:pt>
                <c:pt idx="5">
                  <c:v>17.978400000000001</c:v>
                </c:pt>
                <c:pt idx="6">
                  <c:v>1.1843999999999999</c:v>
                </c:pt>
                <c:pt idx="7">
                  <c:v>1.1663999999999999</c:v>
                </c:pt>
                <c:pt idx="8">
                  <c:v>1.1052</c:v>
                </c:pt>
                <c:pt idx="9">
                  <c:v>1.2276</c:v>
                </c:pt>
                <c:pt idx="10">
                  <c:v>0.57240000000000002</c:v>
                </c:pt>
                <c:pt idx="11">
                  <c:v>0.61560000000000004</c:v>
                </c:pt>
                <c:pt idx="12">
                  <c:v>0.63</c:v>
                </c:pt>
                <c:pt idx="13">
                  <c:v>0</c:v>
                </c:pt>
                <c:pt idx="14">
                  <c:v>0</c:v>
                </c:pt>
                <c:pt idx="15">
                  <c:v>0.77759999999999996</c:v>
                </c:pt>
                <c:pt idx="16">
                  <c:v>0.38879999999999998</c:v>
                </c:pt>
                <c:pt idx="17">
                  <c:v>0.3276</c:v>
                </c:pt>
                <c:pt idx="18">
                  <c:v>0.33839999999999998</c:v>
                </c:pt>
                <c:pt idx="19">
                  <c:v>0.50039999999999996</c:v>
                </c:pt>
                <c:pt idx="20">
                  <c:v>0.57599999999999996</c:v>
                </c:pt>
                <c:pt idx="21">
                  <c:v>1.008</c:v>
                </c:pt>
                <c:pt idx="22">
                  <c:v>1.0151999999999999</c:v>
                </c:pt>
                <c:pt idx="23">
                  <c:v>0.98280000000000001</c:v>
                </c:pt>
                <c:pt idx="24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ImpExp!$J$2:$AH$2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ImpExp!$J$3:$AH$3</c:f>
              <c:numCache>
                <c:formatCode>General</c:formatCode>
                <c:ptCount val="25"/>
                <c:pt idx="0">
                  <c:v>44.1648</c:v>
                </c:pt>
                <c:pt idx="1">
                  <c:v>36.6372</c:v>
                </c:pt>
                <c:pt idx="2">
                  <c:v>45.014400000000002</c:v>
                </c:pt>
                <c:pt idx="3">
                  <c:v>34.271999999999998</c:v>
                </c:pt>
                <c:pt idx="4">
                  <c:v>29.1996</c:v>
                </c:pt>
                <c:pt idx="5">
                  <c:v>36.763199999999998</c:v>
                </c:pt>
                <c:pt idx="6">
                  <c:v>32.7348</c:v>
                </c:pt>
                <c:pt idx="7">
                  <c:v>31.582799999999999</c:v>
                </c:pt>
                <c:pt idx="8">
                  <c:v>21.171599999999998</c:v>
                </c:pt>
                <c:pt idx="9">
                  <c:v>24.303599999999999</c:v>
                </c:pt>
                <c:pt idx="10">
                  <c:v>18.741599999999998</c:v>
                </c:pt>
                <c:pt idx="11">
                  <c:v>28.555199999999999</c:v>
                </c:pt>
                <c:pt idx="12">
                  <c:v>28.033200000000001</c:v>
                </c:pt>
                <c:pt idx="13">
                  <c:v>35.593199999999996</c:v>
                </c:pt>
                <c:pt idx="14">
                  <c:v>44.315999999999995</c:v>
                </c:pt>
                <c:pt idx="15">
                  <c:v>53.8416</c:v>
                </c:pt>
                <c:pt idx="16">
                  <c:v>78.641999999999996</c:v>
                </c:pt>
                <c:pt idx="17">
                  <c:v>85.543199999999999</c:v>
                </c:pt>
                <c:pt idx="18">
                  <c:v>86.464799999999997</c:v>
                </c:pt>
                <c:pt idx="19">
                  <c:v>67.391999999999996</c:v>
                </c:pt>
                <c:pt idx="20">
                  <c:v>64.540800000000004</c:v>
                </c:pt>
                <c:pt idx="21">
                  <c:v>62.679600000000001</c:v>
                </c:pt>
                <c:pt idx="22">
                  <c:v>28.9116</c:v>
                </c:pt>
                <c:pt idx="23">
                  <c:v>40.7376</c:v>
                </c:pt>
                <c:pt idx="24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ImpExp!$J$2:$AH$2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ImpExp!$J$4:$AH$4</c:f>
              <c:numCache>
                <c:formatCode>General</c:formatCode>
                <c:ptCount val="25"/>
                <c:pt idx="0">
                  <c:v>-28.177199999999999</c:v>
                </c:pt>
                <c:pt idx="1">
                  <c:v>-24.217199999999998</c:v>
                </c:pt>
                <c:pt idx="2">
                  <c:v>-25.83</c:v>
                </c:pt>
                <c:pt idx="3">
                  <c:v>-29.725200000000001</c:v>
                </c:pt>
                <c:pt idx="4">
                  <c:v>-40.1004</c:v>
                </c:pt>
                <c:pt idx="5">
                  <c:v>-41.597999999999999</c:v>
                </c:pt>
                <c:pt idx="6">
                  <c:v>-44.5428</c:v>
                </c:pt>
                <c:pt idx="7">
                  <c:v>-52.2864</c:v>
                </c:pt>
                <c:pt idx="8">
                  <c:v>-60.911999999999999</c:v>
                </c:pt>
                <c:pt idx="9">
                  <c:v>-53.478000000000002</c:v>
                </c:pt>
                <c:pt idx="10">
                  <c:v>-48.740400000000001</c:v>
                </c:pt>
                <c:pt idx="11">
                  <c:v>-50.482799999999997</c:v>
                </c:pt>
                <c:pt idx="12">
                  <c:v>-68.349599999999995</c:v>
                </c:pt>
                <c:pt idx="13">
                  <c:v>-59.896799999999999</c:v>
                </c:pt>
                <c:pt idx="14">
                  <c:v>-56.577599999999997</c:v>
                </c:pt>
                <c:pt idx="15">
                  <c:v>-54.320399999999999</c:v>
                </c:pt>
                <c:pt idx="16">
                  <c:v>-51.040799999999997</c:v>
                </c:pt>
                <c:pt idx="17">
                  <c:v>-52.534799999999997</c:v>
                </c:pt>
                <c:pt idx="18">
                  <c:v>-46.497599999999998</c:v>
                </c:pt>
                <c:pt idx="19">
                  <c:v>-42.688800000000001</c:v>
                </c:pt>
                <c:pt idx="20">
                  <c:v>-52.732799999999997</c:v>
                </c:pt>
                <c:pt idx="21">
                  <c:v>-59.608799999999995</c:v>
                </c:pt>
                <c:pt idx="22">
                  <c:v>-100.19879999999999</c:v>
                </c:pt>
                <c:pt idx="23">
                  <c:v>-90.979199999999992</c:v>
                </c:pt>
                <c:pt idx="24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ImpExp!$J$5:$AH$5</c:f>
              <c:numCache>
                <c:formatCode>General</c:formatCode>
                <c:ptCount val="25"/>
                <c:pt idx="0">
                  <c:v>15.9876</c:v>
                </c:pt>
                <c:pt idx="1">
                  <c:v>12.420000000000002</c:v>
                </c:pt>
                <c:pt idx="2">
                  <c:v>19.184400000000004</c:v>
                </c:pt>
                <c:pt idx="3">
                  <c:v>4.5467999999999975</c:v>
                </c:pt>
                <c:pt idx="4">
                  <c:v>-10.9008</c:v>
                </c:pt>
                <c:pt idx="5">
                  <c:v>-4.8348000000000013</c:v>
                </c:pt>
                <c:pt idx="6">
                  <c:v>-11.808</c:v>
                </c:pt>
                <c:pt idx="7">
                  <c:v>-20.703600000000002</c:v>
                </c:pt>
                <c:pt idx="8">
                  <c:v>-39.740400000000001</c:v>
                </c:pt>
                <c:pt idx="9">
                  <c:v>-29.174400000000002</c:v>
                </c:pt>
                <c:pt idx="10">
                  <c:v>-29.998800000000003</c:v>
                </c:pt>
                <c:pt idx="11">
                  <c:v>-21.927599999999998</c:v>
                </c:pt>
                <c:pt idx="12">
                  <c:v>-40.316399999999994</c:v>
                </c:pt>
                <c:pt idx="13">
                  <c:v>-24.303600000000003</c:v>
                </c:pt>
                <c:pt idx="14">
                  <c:v>-12.261600000000001</c:v>
                </c:pt>
                <c:pt idx="15">
                  <c:v>-0.47879999999999967</c:v>
                </c:pt>
                <c:pt idx="16">
                  <c:v>27.601199999999999</c:v>
                </c:pt>
                <c:pt idx="17">
                  <c:v>33.008400000000002</c:v>
                </c:pt>
                <c:pt idx="18">
                  <c:v>39.967199999999998</c:v>
                </c:pt>
                <c:pt idx="19">
                  <c:v>24.703199999999995</c:v>
                </c:pt>
                <c:pt idx="20">
                  <c:v>11.808000000000007</c:v>
                </c:pt>
                <c:pt idx="21">
                  <c:v>3.0708000000000055</c:v>
                </c:pt>
                <c:pt idx="22">
                  <c:v>-71.287199999999984</c:v>
                </c:pt>
                <c:pt idx="23">
                  <c:v>-50.241599999999991</c:v>
                </c:pt>
                <c:pt idx="24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Emissions!$J$3:$AG$3</c:f>
              <c:numCache>
                <c:formatCode>0.00</c:formatCode>
                <c:ptCount val="24"/>
                <c:pt idx="0">
                  <c:v>75.856999999999999</c:v>
                </c:pt>
                <c:pt idx="1">
                  <c:v>67.123999999999995</c:v>
                </c:pt>
                <c:pt idx="2">
                  <c:v>76.909000000000006</c:v>
                </c:pt>
                <c:pt idx="3">
                  <c:v>70.673000000000002</c:v>
                </c:pt>
                <c:pt idx="4">
                  <c:v>73.147000000000006</c:v>
                </c:pt>
                <c:pt idx="5">
                  <c:v>73.171999999999997</c:v>
                </c:pt>
                <c:pt idx="6">
                  <c:v>62.594999999999999</c:v>
                </c:pt>
                <c:pt idx="7">
                  <c:v>71.436000000000007</c:v>
                </c:pt>
                <c:pt idx="8">
                  <c:v>46.113999999999997</c:v>
                </c:pt>
                <c:pt idx="9">
                  <c:v>35.026000000000003</c:v>
                </c:pt>
                <c:pt idx="10">
                  <c:v>25.3</c:v>
                </c:pt>
                <c:pt idx="11">
                  <c:v>44.177999999999997</c:v>
                </c:pt>
                <c:pt idx="12">
                  <c:v>53.131999999999998</c:v>
                </c:pt>
                <c:pt idx="13">
                  <c:v>38.640999999999998</c:v>
                </c:pt>
                <c:pt idx="14">
                  <c:v>42.912999999999997</c:v>
                </c:pt>
                <c:pt idx="15">
                  <c:v>49.125</c:v>
                </c:pt>
                <c:pt idx="16">
                  <c:v>35.423000000000002</c:v>
                </c:pt>
                <c:pt idx="17">
                  <c:v>44.04</c:v>
                </c:pt>
                <c:pt idx="18">
                  <c:v>36.701999999999998</c:v>
                </c:pt>
                <c:pt idx="19">
                  <c:v>14.217000000000001</c:v>
                </c:pt>
                <c:pt idx="20">
                  <c:v>6.4909999999999997</c:v>
                </c:pt>
                <c:pt idx="21">
                  <c:v>7.1749999999999998</c:v>
                </c:pt>
                <c:pt idx="22">
                  <c:v>8.9670000000000005</c:v>
                </c:pt>
                <c:pt idx="23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Emissions!$J$4:$AG$4</c:f>
              <c:numCache>
                <c:formatCode>0.00</c:formatCode>
                <c:ptCount val="24"/>
                <c:pt idx="0">
                  <c:v>14.377000000000001</c:v>
                </c:pt>
                <c:pt idx="1">
                  <c:v>16.364999999999998</c:v>
                </c:pt>
                <c:pt idx="2">
                  <c:v>18.884</c:v>
                </c:pt>
                <c:pt idx="3">
                  <c:v>15.645</c:v>
                </c:pt>
                <c:pt idx="4">
                  <c:v>15.881</c:v>
                </c:pt>
                <c:pt idx="5">
                  <c:v>17.149999999999999</c:v>
                </c:pt>
                <c:pt idx="6">
                  <c:v>14.491</c:v>
                </c:pt>
                <c:pt idx="7">
                  <c:v>13.48</c:v>
                </c:pt>
                <c:pt idx="8">
                  <c:v>12.941000000000001</c:v>
                </c:pt>
                <c:pt idx="9">
                  <c:v>12.904999999999999</c:v>
                </c:pt>
                <c:pt idx="10">
                  <c:v>11.218</c:v>
                </c:pt>
                <c:pt idx="11">
                  <c:v>10.52</c:v>
                </c:pt>
                <c:pt idx="12">
                  <c:v>10.917</c:v>
                </c:pt>
                <c:pt idx="13">
                  <c:v>9.4359999999999999</c:v>
                </c:pt>
                <c:pt idx="14">
                  <c:v>9.9710000000000001</c:v>
                </c:pt>
                <c:pt idx="15">
                  <c:v>11.891999999999999</c:v>
                </c:pt>
                <c:pt idx="16">
                  <c:v>11.385999999999999</c:v>
                </c:pt>
                <c:pt idx="17">
                  <c:v>10.512</c:v>
                </c:pt>
                <c:pt idx="18">
                  <c:v>9.5120000000000005</c:v>
                </c:pt>
                <c:pt idx="19">
                  <c:v>8.1780000000000008</c:v>
                </c:pt>
                <c:pt idx="20">
                  <c:v>6.718</c:v>
                </c:pt>
                <c:pt idx="21">
                  <c:v>6.3220000000000001</c:v>
                </c:pt>
                <c:pt idx="22">
                  <c:v>6.7210000000000001</c:v>
                </c:pt>
                <c:pt idx="23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Emissions!$J$5:$AG$5</c:f>
              <c:numCache>
                <c:formatCode>0.00</c:formatCode>
                <c:ptCount val="24"/>
                <c:pt idx="0">
                  <c:v>6.3049999999999997</c:v>
                </c:pt>
                <c:pt idx="1">
                  <c:v>6.5990000000000002</c:v>
                </c:pt>
                <c:pt idx="2">
                  <c:v>10.571999999999999</c:v>
                </c:pt>
                <c:pt idx="3">
                  <c:v>12.510999999999999</c:v>
                </c:pt>
                <c:pt idx="4">
                  <c:v>18.088000000000001</c:v>
                </c:pt>
                <c:pt idx="5">
                  <c:v>25.361999999999998</c:v>
                </c:pt>
                <c:pt idx="6">
                  <c:v>32.406999999999996</c:v>
                </c:pt>
                <c:pt idx="7">
                  <c:v>32.332999999999998</c:v>
                </c:pt>
                <c:pt idx="8">
                  <c:v>42.374000000000002</c:v>
                </c:pt>
                <c:pt idx="9">
                  <c:v>38.268000000000001</c:v>
                </c:pt>
                <c:pt idx="10">
                  <c:v>34.341999999999999</c:v>
                </c:pt>
                <c:pt idx="11">
                  <c:v>30.934000000000001</c:v>
                </c:pt>
                <c:pt idx="12">
                  <c:v>26.295999999999999</c:v>
                </c:pt>
                <c:pt idx="13">
                  <c:v>20.146999999999998</c:v>
                </c:pt>
                <c:pt idx="14">
                  <c:v>16.512</c:v>
                </c:pt>
                <c:pt idx="15">
                  <c:v>19.401</c:v>
                </c:pt>
                <c:pt idx="16">
                  <c:v>19.056999999999999</c:v>
                </c:pt>
                <c:pt idx="17">
                  <c:v>23.382999999999999</c:v>
                </c:pt>
                <c:pt idx="18">
                  <c:v>21.161999999999999</c:v>
                </c:pt>
                <c:pt idx="19">
                  <c:v>30.029</c:v>
                </c:pt>
                <c:pt idx="20">
                  <c:v>25.106999999999999</c:v>
                </c:pt>
                <c:pt idx="21">
                  <c:v>25.800999999999998</c:v>
                </c:pt>
                <c:pt idx="22">
                  <c:v>32.043999999999997</c:v>
                </c:pt>
                <c:pt idx="23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Emissions!$J$6:$AG$6</c:f>
              <c:numCache>
                <c:formatCode>0.00</c:formatCode>
                <c:ptCount val="24"/>
                <c:pt idx="0">
                  <c:v>0.88800000000000001</c:v>
                </c:pt>
                <c:pt idx="1">
                  <c:v>0.53400000000000003</c:v>
                </c:pt>
                <c:pt idx="2">
                  <c:v>0.374</c:v>
                </c:pt>
                <c:pt idx="3">
                  <c:v>0.436</c:v>
                </c:pt>
                <c:pt idx="4">
                  <c:v>0.46899999999999997</c:v>
                </c:pt>
                <c:pt idx="5">
                  <c:v>0.72599999999999998</c:v>
                </c:pt>
                <c:pt idx="6">
                  <c:v>0.96699999999999997</c:v>
                </c:pt>
                <c:pt idx="7">
                  <c:v>1.1870000000000001</c:v>
                </c:pt>
                <c:pt idx="8">
                  <c:v>1.2589999999999999</c:v>
                </c:pt>
                <c:pt idx="9">
                  <c:v>1.2250000000000001</c:v>
                </c:pt>
                <c:pt idx="10">
                  <c:v>0.66800000000000004</c:v>
                </c:pt>
                <c:pt idx="11">
                  <c:v>0.748</c:v>
                </c:pt>
                <c:pt idx="12">
                  <c:v>0.67400000000000004</c:v>
                </c:pt>
                <c:pt idx="13">
                  <c:v>0.76600000000000001</c:v>
                </c:pt>
                <c:pt idx="14">
                  <c:v>0.78300000000000003</c:v>
                </c:pt>
                <c:pt idx="15">
                  <c:v>0.95799999999999996</c:v>
                </c:pt>
                <c:pt idx="16">
                  <c:v>0.88100000000000001</c:v>
                </c:pt>
                <c:pt idx="17">
                  <c:v>0.97</c:v>
                </c:pt>
                <c:pt idx="18">
                  <c:v>1.3839999999999999</c:v>
                </c:pt>
                <c:pt idx="19">
                  <c:v>1.3080000000000001</c:v>
                </c:pt>
                <c:pt idx="20">
                  <c:v>1.5760000000000001</c:v>
                </c:pt>
                <c:pt idx="21">
                  <c:v>1.323</c:v>
                </c:pt>
                <c:pt idx="22">
                  <c:v>1.3180000000000001</c:v>
                </c:pt>
                <c:pt idx="23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297180</xdr:colOff>
      <xdr:row>15</xdr:row>
      <xdr:rowOff>24765</xdr:rowOff>
    </xdr:from>
    <xdr:to>
      <xdr:col>20</xdr:col>
      <xdr:colOff>428625</xdr:colOff>
      <xdr:row>42</xdr:row>
      <xdr:rowOff>114300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236220</xdr:colOff>
      <xdr:row>8</xdr:row>
      <xdr:rowOff>60960</xdr:rowOff>
    </xdr:from>
    <xdr:to>
      <xdr:col>28</xdr:col>
      <xdr:colOff>137160</xdr:colOff>
      <xdr:row>33</xdr:row>
      <xdr:rowOff>160020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J301"/>
  <sheetViews>
    <sheetView topLeftCell="C1" zoomScale="80" zoomScaleNormal="80" workbookViewId="0">
      <selection activeCell="W10" sqref="W10"/>
    </sheetView>
  </sheetViews>
  <sheetFormatPr defaultRowHeight="14.4" x14ac:dyDescent="0.3"/>
  <cols>
    <col min="1" max="1" width="31.6640625" bestFit="1" customWidth="1"/>
    <col min="11" max="11" width="12.33203125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</row>
    <row r="2" spans="1:36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2000</v>
      </c>
      <c r="M2">
        <v>2001</v>
      </c>
      <c r="N2">
        <v>2002</v>
      </c>
      <c r="O2">
        <v>2003</v>
      </c>
      <c r="P2">
        <v>2004</v>
      </c>
      <c r="Q2">
        <v>2005</v>
      </c>
      <c r="R2">
        <v>2006</v>
      </c>
      <c r="S2">
        <v>2007</v>
      </c>
      <c r="T2">
        <v>2008</v>
      </c>
      <c r="U2">
        <v>2009</v>
      </c>
      <c r="V2">
        <v>2010</v>
      </c>
      <c r="W2">
        <v>2011</v>
      </c>
      <c r="X2">
        <v>2012</v>
      </c>
      <c r="Y2">
        <v>2013</v>
      </c>
      <c r="Z2">
        <v>2014</v>
      </c>
      <c r="AA2">
        <v>2015</v>
      </c>
      <c r="AB2">
        <v>2016</v>
      </c>
      <c r="AC2">
        <v>2017</v>
      </c>
      <c r="AD2">
        <v>2018</v>
      </c>
      <c r="AE2">
        <v>2019</v>
      </c>
      <c r="AF2">
        <v>2020</v>
      </c>
      <c r="AG2">
        <v>2021</v>
      </c>
      <c r="AH2">
        <v>2022</v>
      </c>
      <c r="AI2">
        <v>2023</v>
      </c>
      <c r="AJ2">
        <v>2024</v>
      </c>
    </row>
    <row r="3" spans="1:36" x14ac:dyDescent="0.3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291.08879999999999</v>
      </c>
      <c r="M3">
        <f t="shared" ref="M3:AJ13" si="0">SUMIFS($B:$B,$A:$A,$K3,$C:$C,M$2)*0.0036</f>
        <v>258.24239999999998</v>
      </c>
      <c r="N3">
        <f t="shared" si="0"/>
        <v>296.84519999999998</v>
      </c>
      <c r="O3">
        <f t="shared" si="0"/>
        <v>273.43799999999999</v>
      </c>
      <c r="P3">
        <f t="shared" si="0"/>
        <v>289.1628</v>
      </c>
      <c r="Q3">
        <f t="shared" si="0"/>
        <v>290.76119999999997</v>
      </c>
      <c r="R3">
        <f t="shared" si="0"/>
        <v>244.7208</v>
      </c>
      <c r="S3">
        <f t="shared" si="0"/>
        <v>266.70600000000002</v>
      </c>
      <c r="T3">
        <f t="shared" si="0"/>
        <v>179.90279999999998</v>
      </c>
      <c r="U3">
        <f t="shared" si="0"/>
        <v>132.9768</v>
      </c>
      <c r="V3">
        <f t="shared" si="0"/>
        <v>94.762799999999999</v>
      </c>
      <c r="W3">
        <f t="shared" si="0"/>
        <v>162.45359999999999</v>
      </c>
      <c r="X3">
        <f t="shared" si="0"/>
        <v>201.5676</v>
      </c>
      <c r="Y3">
        <f t="shared" si="0"/>
        <v>148.79519999999999</v>
      </c>
      <c r="Z3">
        <f t="shared" si="0"/>
        <v>163.06199999999998</v>
      </c>
      <c r="AA3">
        <f t="shared" si="0"/>
        <v>189.6336</v>
      </c>
      <c r="AB3">
        <f t="shared" si="0"/>
        <v>134.83079999999998</v>
      </c>
      <c r="AC3">
        <f t="shared" si="0"/>
        <v>166.85640000000001</v>
      </c>
      <c r="AD3">
        <f t="shared" si="0"/>
        <v>139.3776</v>
      </c>
      <c r="AE3">
        <f t="shared" si="0"/>
        <v>50.3352</v>
      </c>
      <c r="AF3">
        <f t="shared" si="0"/>
        <v>22.136399999999998</v>
      </c>
      <c r="AG3">
        <f t="shared" si="0"/>
        <v>21.650399999999998</v>
      </c>
      <c r="AH3">
        <f t="shared" si="0"/>
        <v>31.305599999999998</v>
      </c>
      <c r="AI3">
        <f t="shared" si="0"/>
        <v>16.02</v>
      </c>
      <c r="AJ3">
        <f t="shared" si="0"/>
        <v>12.477599999999999</v>
      </c>
    </row>
    <row r="4" spans="1:36" x14ac:dyDescent="0.3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ref="L4:AA14" si="1">SUMIFS($B:$B,$A:$A,$K4,$C:$C,L$2)*0.0036</f>
        <v>81.280799999999999</v>
      </c>
      <c r="M4">
        <f t="shared" si="0"/>
        <v>88.675200000000004</v>
      </c>
      <c r="N4">
        <f t="shared" si="0"/>
        <v>102.9348</v>
      </c>
      <c r="O4">
        <f t="shared" si="0"/>
        <v>86.407200000000003</v>
      </c>
      <c r="P4">
        <f t="shared" si="0"/>
        <v>85.820399999999992</v>
      </c>
      <c r="Q4">
        <f t="shared" si="0"/>
        <v>87.911999999999992</v>
      </c>
      <c r="R4">
        <f t="shared" si="0"/>
        <v>85.784399999999991</v>
      </c>
      <c r="S4">
        <f t="shared" si="0"/>
        <v>66.628799999999998</v>
      </c>
      <c r="T4">
        <f t="shared" si="0"/>
        <v>64.807199999999995</v>
      </c>
      <c r="U4">
        <f t="shared" si="0"/>
        <v>69.271199999999993</v>
      </c>
      <c r="V4">
        <f t="shared" si="0"/>
        <v>59.623199999999997</v>
      </c>
      <c r="W4">
        <f t="shared" si="0"/>
        <v>52.891199999999998</v>
      </c>
      <c r="X4">
        <f t="shared" si="0"/>
        <v>55.1556</v>
      </c>
      <c r="Y4">
        <f t="shared" si="0"/>
        <v>49.546799999999998</v>
      </c>
      <c r="Z4">
        <f t="shared" si="0"/>
        <v>50.835599999999999</v>
      </c>
      <c r="AA4">
        <f t="shared" si="0"/>
        <v>62.067599999999999</v>
      </c>
      <c r="AB4">
        <f t="shared" si="0"/>
        <v>60.915599999999998</v>
      </c>
      <c r="AC4">
        <f t="shared" si="0"/>
        <v>56.757599999999996</v>
      </c>
      <c r="AD4">
        <f t="shared" si="0"/>
        <v>52.192799999999998</v>
      </c>
      <c r="AE4">
        <f t="shared" si="0"/>
        <v>46.378799999999998</v>
      </c>
      <c r="AF4">
        <f t="shared" si="0"/>
        <v>38.534399999999998</v>
      </c>
      <c r="AG4">
        <f t="shared" si="0"/>
        <v>36.1584</v>
      </c>
      <c r="AH4">
        <f t="shared" si="0"/>
        <v>38.124000000000002</v>
      </c>
      <c r="AI4">
        <f t="shared" si="0"/>
        <v>33.436799999999998</v>
      </c>
      <c r="AJ4">
        <f t="shared" si="0"/>
        <v>32.842799999999997</v>
      </c>
    </row>
    <row r="5" spans="1:36" x14ac:dyDescent="0.3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1"/>
        <v>72.640799999999999</v>
      </c>
      <c r="M5">
        <f t="shared" si="0"/>
        <v>84.088799999999992</v>
      </c>
      <c r="N5">
        <f t="shared" si="0"/>
        <v>116.58959999999999</v>
      </c>
      <c r="O5">
        <f t="shared" si="0"/>
        <v>141.72479999999999</v>
      </c>
      <c r="P5">
        <f t="shared" si="0"/>
        <v>199.65600000000001</v>
      </c>
      <c r="Q5">
        <f t="shared" si="0"/>
        <v>284.43959999999998</v>
      </c>
      <c r="R5">
        <f t="shared" si="0"/>
        <v>326.05199999999996</v>
      </c>
      <c r="S5">
        <f t="shared" si="0"/>
        <v>341.27639999999997</v>
      </c>
      <c r="T5">
        <f t="shared" si="0"/>
        <v>434.87279999999998</v>
      </c>
      <c r="U5">
        <f t="shared" si="0"/>
        <v>387.88560000000001</v>
      </c>
      <c r="V5">
        <f t="shared" si="0"/>
        <v>341.46359999999999</v>
      </c>
      <c r="W5">
        <f t="shared" si="0"/>
        <v>307.8288</v>
      </c>
      <c r="X5">
        <f t="shared" si="0"/>
        <v>263.90879999999999</v>
      </c>
      <c r="Y5">
        <f t="shared" si="0"/>
        <v>207.12959999999998</v>
      </c>
      <c r="Z5">
        <f t="shared" si="0"/>
        <v>170.18279999999999</v>
      </c>
      <c r="AA5">
        <f t="shared" si="0"/>
        <v>188.99279999999999</v>
      </c>
      <c r="AB5">
        <f t="shared" si="0"/>
        <v>190.15199999999999</v>
      </c>
      <c r="AC5">
        <f t="shared" si="0"/>
        <v>230.53319999999999</v>
      </c>
      <c r="AD5">
        <f t="shared" si="0"/>
        <v>208.81440000000001</v>
      </c>
      <c r="AE5">
        <f t="shared" si="0"/>
        <v>301.33080000000001</v>
      </c>
      <c r="AF5">
        <f t="shared" si="0"/>
        <v>251.06039999999999</v>
      </c>
      <c r="AG5">
        <f t="shared" si="0"/>
        <v>257.40719999999999</v>
      </c>
      <c r="AH5">
        <f t="shared" si="0"/>
        <v>309.51</v>
      </c>
      <c r="AI5">
        <f t="shared" si="0"/>
        <v>231.3792</v>
      </c>
      <c r="AJ5">
        <f t="shared" si="0"/>
        <v>188.3844</v>
      </c>
    </row>
    <row r="6" spans="1:36" x14ac:dyDescent="0.3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1"/>
        <v>223.94159999999999</v>
      </c>
      <c r="M6">
        <f t="shared" si="0"/>
        <v>229.34879999999998</v>
      </c>
      <c r="N6">
        <f t="shared" si="0"/>
        <v>226.85759999999999</v>
      </c>
      <c r="O6">
        <f t="shared" si="0"/>
        <v>222.75</v>
      </c>
      <c r="P6">
        <f t="shared" si="0"/>
        <v>228.98159999999999</v>
      </c>
      <c r="Q6">
        <f t="shared" si="0"/>
        <v>207.1404</v>
      </c>
      <c r="R6">
        <f t="shared" si="0"/>
        <v>216.45359999999999</v>
      </c>
      <c r="S6">
        <f t="shared" si="0"/>
        <v>198.3708</v>
      </c>
      <c r="T6">
        <f t="shared" si="0"/>
        <v>212.30279999999999</v>
      </c>
      <c r="U6">
        <f t="shared" si="0"/>
        <v>189.93959999999998</v>
      </c>
      <c r="V6">
        <f t="shared" si="0"/>
        <v>223.16399999999999</v>
      </c>
      <c r="W6">
        <f t="shared" si="0"/>
        <v>207.78479999999999</v>
      </c>
      <c r="X6">
        <f t="shared" si="0"/>
        <v>221.292</v>
      </c>
      <c r="Y6">
        <f t="shared" si="0"/>
        <v>204.21359999999999</v>
      </c>
      <c r="Z6">
        <f t="shared" si="0"/>
        <v>206.298</v>
      </c>
      <c r="AA6">
        <f t="shared" si="0"/>
        <v>205.90559999999999</v>
      </c>
      <c r="AB6">
        <f t="shared" si="0"/>
        <v>211.0788</v>
      </c>
      <c r="AC6">
        <f t="shared" si="0"/>
        <v>208.94039999999998</v>
      </c>
      <c r="AD6">
        <f t="shared" si="0"/>
        <v>200.7576</v>
      </c>
      <c r="AE6">
        <f t="shared" si="0"/>
        <v>210.0564</v>
      </c>
      <c r="AF6">
        <f t="shared" si="0"/>
        <v>209.87639999999999</v>
      </c>
      <c r="AG6">
        <f t="shared" si="0"/>
        <v>203.63039999999998</v>
      </c>
      <c r="AH6">
        <f t="shared" si="0"/>
        <v>210.92400000000001</v>
      </c>
      <c r="AI6">
        <f t="shared" si="0"/>
        <v>204.74279999999999</v>
      </c>
      <c r="AJ6">
        <f t="shared" si="0"/>
        <v>196.3152</v>
      </c>
    </row>
    <row r="7" spans="1:36" x14ac:dyDescent="0.3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1"/>
        <v>114.5052</v>
      </c>
      <c r="M7">
        <f t="shared" si="0"/>
        <v>157.91040000000001</v>
      </c>
      <c r="N7">
        <f t="shared" si="0"/>
        <v>94.572000000000003</v>
      </c>
      <c r="O7">
        <f t="shared" si="0"/>
        <v>158.0292</v>
      </c>
      <c r="P7">
        <f t="shared" si="0"/>
        <v>123.9804</v>
      </c>
      <c r="Q7">
        <f t="shared" si="0"/>
        <v>82.89</v>
      </c>
      <c r="R7">
        <f t="shared" si="0"/>
        <v>107.3916</v>
      </c>
      <c r="S7">
        <f t="shared" si="0"/>
        <v>109.8792</v>
      </c>
      <c r="T7">
        <f t="shared" si="0"/>
        <v>94.118399999999994</v>
      </c>
      <c r="U7">
        <f t="shared" si="0"/>
        <v>104.9832</v>
      </c>
      <c r="V7">
        <f t="shared" si="0"/>
        <v>163.83959999999999</v>
      </c>
      <c r="W7">
        <f t="shared" si="0"/>
        <v>118.47959999999999</v>
      </c>
      <c r="X7">
        <f t="shared" si="0"/>
        <v>86.983199999999997</v>
      </c>
      <c r="Y7">
        <f t="shared" si="0"/>
        <v>147.78719999999998</v>
      </c>
      <c r="Z7">
        <f t="shared" si="0"/>
        <v>154.6884</v>
      </c>
      <c r="AA7">
        <f t="shared" si="0"/>
        <v>112.92479999999999</v>
      </c>
      <c r="AB7">
        <f t="shared" si="0"/>
        <v>143.51400000000001</v>
      </c>
      <c r="AC7">
        <f t="shared" si="0"/>
        <v>75.852000000000004</v>
      </c>
      <c r="AD7">
        <f t="shared" si="0"/>
        <v>132.49080000000001</v>
      </c>
      <c r="AE7">
        <f t="shared" si="0"/>
        <v>96.746399999999994</v>
      </c>
      <c r="AF7">
        <f t="shared" si="0"/>
        <v>122.39279999999999</v>
      </c>
      <c r="AG7">
        <f t="shared" si="0"/>
        <v>118.2492</v>
      </c>
      <c r="AH7">
        <f t="shared" si="0"/>
        <v>79.5672</v>
      </c>
      <c r="AI7">
        <f t="shared" si="0"/>
        <v>111.97799999999999</v>
      </c>
      <c r="AJ7">
        <f t="shared" si="0"/>
        <v>146.9556</v>
      </c>
    </row>
    <row r="8" spans="1:36" x14ac:dyDescent="0.3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1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7.1999999999999995E-2</v>
      </c>
      <c r="AF8">
        <f t="shared" si="0"/>
        <v>9.7199999999999995E-2</v>
      </c>
      <c r="AG8">
        <f t="shared" si="0"/>
        <v>6.8400000000000002E-2</v>
      </c>
      <c r="AH8">
        <f t="shared" si="0"/>
        <v>8.2799999999999999E-2</v>
      </c>
      <c r="AI8">
        <f t="shared" si="0"/>
        <v>4.3200000000000002E-2</v>
      </c>
      <c r="AJ8">
        <f t="shared" si="0"/>
        <v>2.8799999999999999E-2</v>
      </c>
    </row>
    <row r="9" spans="1:36" x14ac:dyDescent="0.3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1"/>
        <v>4.1723999999999997</v>
      </c>
      <c r="M9">
        <f t="shared" si="0"/>
        <v>4.6692</v>
      </c>
      <c r="N9">
        <f t="shared" si="0"/>
        <v>8.2907999999999991</v>
      </c>
      <c r="O9">
        <f t="shared" si="0"/>
        <v>10.270799999999999</v>
      </c>
      <c r="P9">
        <f t="shared" si="0"/>
        <v>10.9404</v>
      </c>
      <c r="Q9">
        <f t="shared" si="0"/>
        <v>7.9272</v>
      </c>
      <c r="R9">
        <f t="shared" si="0"/>
        <v>7.8228</v>
      </c>
      <c r="S9">
        <f t="shared" si="0"/>
        <v>7.7795999999999994</v>
      </c>
      <c r="T9">
        <f t="shared" si="0"/>
        <v>8.9027999999999992</v>
      </c>
      <c r="U9">
        <f t="shared" si="0"/>
        <v>9.8171999999999997</v>
      </c>
      <c r="V9">
        <f t="shared" si="0"/>
        <v>12.0816</v>
      </c>
      <c r="W9">
        <f t="shared" si="0"/>
        <v>13.730399999999999</v>
      </c>
      <c r="X9">
        <f t="shared" si="0"/>
        <v>15.3432</v>
      </c>
      <c r="Y9">
        <f t="shared" si="0"/>
        <v>18.4176</v>
      </c>
      <c r="Z9">
        <f t="shared" si="0"/>
        <v>17.020800000000001</v>
      </c>
      <c r="AA9">
        <f t="shared" si="0"/>
        <v>17.985599999999998</v>
      </c>
      <c r="AB9">
        <f t="shared" si="0"/>
        <v>17.834399999999999</v>
      </c>
      <c r="AC9">
        <f t="shared" si="0"/>
        <v>19.101600000000001</v>
      </c>
      <c r="AD9">
        <f t="shared" si="0"/>
        <v>18.561599999999999</v>
      </c>
      <c r="AE9">
        <f t="shared" si="0"/>
        <v>17.287199999999999</v>
      </c>
      <c r="AF9">
        <f t="shared" si="0"/>
        <v>19.565999999999999</v>
      </c>
      <c r="AG9">
        <f t="shared" si="0"/>
        <v>21.916799999999999</v>
      </c>
      <c r="AH9">
        <f t="shared" si="0"/>
        <v>21.366</v>
      </c>
      <c r="AI9">
        <f t="shared" si="0"/>
        <v>18.223199999999999</v>
      </c>
      <c r="AJ9">
        <f t="shared" si="0"/>
        <v>19.148399999999999</v>
      </c>
    </row>
    <row r="10" spans="1:36" x14ac:dyDescent="0.3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1"/>
        <v>3.3875999999999999</v>
      </c>
      <c r="M10">
        <f t="shared" si="0"/>
        <v>2.4011999999999998</v>
      </c>
      <c r="N10">
        <f t="shared" si="0"/>
        <v>2.0375999999999999</v>
      </c>
      <c r="O10">
        <f t="shared" si="0"/>
        <v>2.3795999999999999</v>
      </c>
      <c r="P10">
        <f t="shared" si="0"/>
        <v>2.0951999999999997</v>
      </c>
      <c r="Q10">
        <f t="shared" si="0"/>
        <v>3.2471999999999999</v>
      </c>
      <c r="R10">
        <f t="shared" si="0"/>
        <v>4.3271999999999995</v>
      </c>
      <c r="S10">
        <f t="shared" si="0"/>
        <v>5.3064</v>
      </c>
      <c r="T10">
        <f t="shared" si="0"/>
        <v>5.6303999999999998</v>
      </c>
      <c r="U10">
        <f t="shared" si="0"/>
        <v>5.4791999999999996</v>
      </c>
      <c r="V10">
        <f t="shared" si="0"/>
        <v>4.7447999999999997</v>
      </c>
      <c r="W10">
        <f t="shared" si="0"/>
        <v>5.7240000000000002</v>
      </c>
      <c r="X10">
        <f t="shared" si="0"/>
        <v>5.1479999999999997</v>
      </c>
      <c r="Y10">
        <f t="shared" si="0"/>
        <v>4.9104000000000001</v>
      </c>
      <c r="Z10">
        <f t="shared" si="0"/>
        <v>4.9391999999999996</v>
      </c>
      <c r="AA10">
        <f t="shared" si="0"/>
        <v>5.5296000000000003</v>
      </c>
      <c r="AB10">
        <f t="shared" si="0"/>
        <v>5.2919999999999998</v>
      </c>
      <c r="AC10">
        <f t="shared" si="0"/>
        <v>5.5583999999999998</v>
      </c>
      <c r="AD10">
        <f t="shared" si="0"/>
        <v>6.39</v>
      </c>
      <c r="AE10">
        <f t="shared" si="0"/>
        <v>6.3179999999999996</v>
      </c>
      <c r="AF10">
        <f t="shared" si="0"/>
        <v>6.3035999999999994</v>
      </c>
      <c r="AG10">
        <f t="shared" si="0"/>
        <v>6.4619999999999997</v>
      </c>
      <c r="AH10">
        <f t="shared" si="0"/>
        <v>6.3144</v>
      </c>
      <c r="AI10">
        <f t="shared" si="0"/>
        <v>6.0587999999999997</v>
      </c>
      <c r="AJ10">
        <f t="shared" si="0"/>
        <v>6.0695999999999994</v>
      </c>
    </row>
    <row r="11" spans="1:36" x14ac:dyDescent="0.3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1"/>
        <v>17.017199999999999</v>
      </c>
      <c r="M11">
        <f t="shared" si="0"/>
        <v>24.3324</v>
      </c>
      <c r="N11">
        <f t="shared" si="0"/>
        <v>33.6312</v>
      </c>
      <c r="O11">
        <f t="shared" si="0"/>
        <v>43.47</v>
      </c>
      <c r="P11">
        <f t="shared" si="0"/>
        <v>56.519999999999996</v>
      </c>
      <c r="Q11">
        <f t="shared" si="0"/>
        <v>76.233599999999996</v>
      </c>
      <c r="R11">
        <f t="shared" si="0"/>
        <v>83.869199999999992</v>
      </c>
      <c r="S11">
        <f t="shared" si="0"/>
        <v>99.244799999999998</v>
      </c>
      <c r="T11">
        <f t="shared" si="0"/>
        <v>118.6056</v>
      </c>
      <c r="U11">
        <f t="shared" si="0"/>
        <v>137.22120000000001</v>
      </c>
      <c r="V11">
        <f t="shared" si="0"/>
        <v>159.37559999999999</v>
      </c>
      <c r="W11">
        <f t="shared" si="0"/>
        <v>154.50479999999999</v>
      </c>
      <c r="X11">
        <f t="shared" si="0"/>
        <v>178.0992</v>
      </c>
      <c r="Y11">
        <f t="shared" si="0"/>
        <v>200.32560000000001</v>
      </c>
      <c r="Z11">
        <f t="shared" si="0"/>
        <v>187.24680000000001</v>
      </c>
      <c r="AA11">
        <f t="shared" si="0"/>
        <v>177.57</v>
      </c>
      <c r="AB11">
        <f t="shared" si="0"/>
        <v>176.05799999999999</v>
      </c>
      <c r="AC11">
        <f t="shared" si="0"/>
        <v>176.85720000000001</v>
      </c>
      <c r="AD11">
        <f t="shared" si="0"/>
        <v>183.22559999999999</v>
      </c>
      <c r="AE11">
        <f t="shared" si="0"/>
        <v>200.32919999999999</v>
      </c>
      <c r="AF11">
        <f t="shared" si="0"/>
        <v>203.19839999999999</v>
      </c>
      <c r="AG11">
        <f t="shared" si="0"/>
        <v>223.4196</v>
      </c>
      <c r="AH11">
        <f t="shared" si="0"/>
        <v>226.0224</v>
      </c>
      <c r="AI11">
        <f t="shared" si="0"/>
        <v>231.39</v>
      </c>
      <c r="AJ11">
        <f t="shared" si="0"/>
        <v>223.5204</v>
      </c>
    </row>
    <row r="12" spans="1:36" x14ac:dyDescent="0.3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1"/>
        <v>5.04E-2</v>
      </c>
      <c r="M12">
        <f t="shared" si="0"/>
        <v>6.1199999999999997E-2</v>
      </c>
      <c r="N12">
        <f t="shared" si="0"/>
        <v>6.4799999999999996E-2</v>
      </c>
      <c r="O12">
        <f t="shared" si="0"/>
        <v>7.1999999999999995E-2</v>
      </c>
      <c r="P12">
        <f t="shared" si="0"/>
        <v>8.2799999999999999E-2</v>
      </c>
      <c r="Q12">
        <f t="shared" si="0"/>
        <v>0.16919999999999999</v>
      </c>
      <c r="R12">
        <f t="shared" si="0"/>
        <v>0.44639999999999996</v>
      </c>
      <c r="S12">
        <f t="shared" si="0"/>
        <v>1.8251999999999999</v>
      </c>
      <c r="T12">
        <f t="shared" si="0"/>
        <v>9.2232000000000003</v>
      </c>
      <c r="U12">
        <f t="shared" si="0"/>
        <v>21.459599999999998</v>
      </c>
      <c r="V12">
        <f t="shared" si="0"/>
        <v>23.13</v>
      </c>
      <c r="W12">
        <f t="shared" si="0"/>
        <v>26.783999999999999</v>
      </c>
      <c r="X12">
        <f t="shared" si="0"/>
        <v>29.491199999999999</v>
      </c>
      <c r="Y12">
        <f t="shared" si="0"/>
        <v>29.973599999999998</v>
      </c>
      <c r="Z12">
        <f t="shared" si="0"/>
        <v>29.581199999999999</v>
      </c>
      <c r="AA12">
        <f t="shared" si="0"/>
        <v>29.7576</v>
      </c>
      <c r="AB12">
        <f t="shared" si="0"/>
        <v>29.026799999999998</v>
      </c>
      <c r="AC12">
        <f t="shared" si="0"/>
        <v>30.650399999999998</v>
      </c>
      <c r="AD12">
        <f t="shared" si="0"/>
        <v>28.357199999999999</v>
      </c>
      <c r="AE12">
        <f t="shared" si="0"/>
        <v>33.911999999999999</v>
      </c>
      <c r="AF12">
        <f t="shared" si="0"/>
        <v>56.43</v>
      </c>
      <c r="AG12">
        <f t="shared" si="0"/>
        <v>78.919200000000004</v>
      </c>
      <c r="AH12">
        <f t="shared" si="0"/>
        <v>112.2732</v>
      </c>
      <c r="AI12">
        <f t="shared" si="0"/>
        <v>156.31559999999999</v>
      </c>
      <c r="AJ12">
        <f t="shared" si="0"/>
        <v>193.50719999999998</v>
      </c>
    </row>
    <row r="13" spans="1:36" x14ac:dyDescent="0.3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1"/>
        <v>0</v>
      </c>
      <c r="M13">
        <f t="shared" si="0"/>
        <v>0</v>
      </c>
      <c r="N13">
        <f t="shared" si="0"/>
        <v>0</v>
      </c>
      <c r="O13">
        <f t="shared" si="0"/>
        <v>0</v>
      </c>
      <c r="P13">
        <f t="shared" si="0"/>
        <v>0</v>
      </c>
      <c r="Q13">
        <f t="shared" si="0"/>
        <v>0</v>
      </c>
      <c r="R13">
        <f t="shared" si="0"/>
        <v>0</v>
      </c>
      <c r="S13">
        <f t="shared" si="0"/>
        <v>2.8799999999999999E-2</v>
      </c>
      <c r="T13">
        <f t="shared" si="0"/>
        <v>5.7599999999999998E-2</v>
      </c>
      <c r="U13">
        <f t="shared" si="0"/>
        <v>0.37079999999999996</v>
      </c>
      <c r="V13">
        <f t="shared" si="0"/>
        <v>2.7395999999999998</v>
      </c>
      <c r="W13">
        <f t="shared" si="0"/>
        <v>7.0523999999999996</v>
      </c>
      <c r="X13">
        <f t="shared" si="0"/>
        <v>13.59</v>
      </c>
      <c r="Y13">
        <f t="shared" si="0"/>
        <v>17.168399999999998</v>
      </c>
      <c r="Z13">
        <f t="shared" si="0"/>
        <v>19.634399999999999</v>
      </c>
      <c r="AA13">
        <f t="shared" si="0"/>
        <v>20.134799999999998</v>
      </c>
      <c r="AB13">
        <f t="shared" ref="AB13:AJ14" si="2">SUMIFS($B:$B,$A:$A,$K13,$C:$C,AB$2)*0.0036</f>
        <v>20.084399999999999</v>
      </c>
      <c r="AC13">
        <f t="shared" si="2"/>
        <v>21.178799999999999</v>
      </c>
      <c r="AD13">
        <f t="shared" si="2"/>
        <v>17.5212</v>
      </c>
      <c r="AE13">
        <f t="shared" si="2"/>
        <v>20.4588</v>
      </c>
      <c r="AF13">
        <f t="shared" si="2"/>
        <v>17.9712</v>
      </c>
      <c r="AG13">
        <f t="shared" si="2"/>
        <v>18.633599999999998</v>
      </c>
      <c r="AH13">
        <f t="shared" si="2"/>
        <v>16.329599999999999</v>
      </c>
      <c r="AI13">
        <f t="shared" si="2"/>
        <v>18.594000000000001</v>
      </c>
      <c r="AJ13">
        <f t="shared" si="2"/>
        <v>16.344000000000001</v>
      </c>
    </row>
    <row r="14" spans="1:36" x14ac:dyDescent="0.3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1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10.6668</v>
      </c>
      <c r="Q14">
        <f t="shared" si="1"/>
        <v>17.978400000000001</v>
      </c>
      <c r="R14">
        <f t="shared" si="1"/>
        <v>1.1843999999999999</v>
      </c>
      <c r="S14">
        <f t="shared" si="1"/>
        <v>1.1663999999999999</v>
      </c>
      <c r="T14">
        <f t="shared" si="1"/>
        <v>1.1052</v>
      </c>
      <c r="U14">
        <f t="shared" si="1"/>
        <v>1.2276</v>
      </c>
      <c r="V14">
        <f t="shared" si="1"/>
        <v>0.57240000000000002</v>
      </c>
      <c r="W14">
        <f t="shared" si="1"/>
        <v>0.61560000000000004</v>
      </c>
      <c r="X14">
        <f t="shared" si="1"/>
        <v>0.63</v>
      </c>
      <c r="Y14">
        <f t="shared" si="1"/>
        <v>0</v>
      </c>
      <c r="Z14">
        <f t="shared" si="1"/>
        <v>0</v>
      </c>
      <c r="AA14">
        <f t="shared" si="1"/>
        <v>0.77759999999999996</v>
      </c>
      <c r="AB14">
        <f t="shared" si="2"/>
        <v>0.38879999999999998</v>
      </c>
      <c r="AC14">
        <f t="shared" si="2"/>
        <v>0.3276</v>
      </c>
      <c r="AD14">
        <f t="shared" si="2"/>
        <v>0.33839999999999998</v>
      </c>
      <c r="AE14">
        <f t="shared" si="2"/>
        <v>0.50039999999999996</v>
      </c>
      <c r="AF14">
        <f t="shared" si="2"/>
        <v>0.57599999999999996</v>
      </c>
      <c r="AG14">
        <f t="shared" si="2"/>
        <v>1.008</v>
      </c>
      <c r="AH14">
        <f t="shared" si="2"/>
        <v>1.0151999999999999</v>
      </c>
      <c r="AI14">
        <f t="shared" si="2"/>
        <v>0.98280000000000001</v>
      </c>
      <c r="AJ14">
        <f t="shared" si="2"/>
        <v>0.87839999999999996</v>
      </c>
    </row>
    <row r="15" spans="1:36" x14ac:dyDescent="0.3">
      <c r="A15" t="s">
        <v>4</v>
      </c>
      <c r="B15">
        <v>41332</v>
      </c>
      <c r="C15">
        <v>2013</v>
      </c>
      <c r="D15" t="s">
        <v>5</v>
      </c>
    </row>
    <row r="16" spans="1:36" x14ac:dyDescent="0.3">
      <c r="A16" t="s">
        <v>4</v>
      </c>
      <c r="B16">
        <v>45295</v>
      </c>
      <c r="C16">
        <v>2014</v>
      </c>
      <c r="D16" t="s">
        <v>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H51"/>
  <sheetViews>
    <sheetView topLeftCell="M1" workbookViewId="0">
      <selection activeCell="I2" sqref="I2:AH4"/>
    </sheetView>
  </sheetViews>
  <sheetFormatPr defaultRowHeight="14.4" x14ac:dyDescent="0.3"/>
  <cols>
    <col min="1" max="1" width="20.6640625" customWidth="1"/>
  </cols>
  <sheetData>
    <row r="1" spans="1:34" x14ac:dyDescent="0.3">
      <c r="A1" t="s">
        <v>19</v>
      </c>
      <c r="B1" t="s">
        <v>1</v>
      </c>
      <c r="C1" t="s">
        <v>2</v>
      </c>
      <c r="D1" t="s">
        <v>3</v>
      </c>
    </row>
    <row r="2" spans="1:34" x14ac:dyDescent="0.3">
      <c r="A2" t="s">
        <v>20</v>
      </c>
      <c r="B2">
        <v>12268</v>
      </c>
      <c r="C2">
        <v>2000</v>
      </c>
      <c r="D2" t="s">
        <v>22</v>
      </c>
      <c r="J2">
        <v>2000</v>
      </c>
      <c r="K2">
        <v>2001</v>
      </c>
      <c r="L2">
        <v>2002</v>
      </c>
      <c r="M2">
        <v>2003</v>
      </c>
      <c r="N2">
        <v>2004</v>
      </c>
      <c r="O2">
        <v>2005</v>
      </c>
      <c r="P2">
        <v>2006</v>
      </c>
      <c r="Q2">
        <v>2007</v>
      </c>
      <c r="R2">
        <v>2008</v>
      </c>
      <c r="S2">
        <v>2009</v>
      </c>
      <c r="T2">
        <v>2010</v>
      </c>
      <c r="U2">
        <v>2011</v>
      </c>
      <c r="V2">
        <v>2012</v>
      </c>
      <c r="W2">
        <v>2013</v>
      </c>
      <c r="X2">
        <v>2014</v>
      </c>
      <c r="Y2">
        <v>2015</v>
      </c>
      <c r="Z2">
        <v>2016</v>
      </c>
      <c r="AA2">
        <v>2017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</row>
    <row r="3" spans="1:34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>SUMIFS($B:$B,$A:$A,$I3,$C:$C,J$2)*0.0036</f>
        <v>44.1648</v>
      </c>
      <c r="K3">
        <f t="shared" ref="K3:AH4" si="0">SUMIFS($B:$B,$A:$A,$I3,$C:$C,K$2)*0.0036</f>
        <v>36.6372</v>
      </c>
      <c r="L3">
        <f t="shared" si="0"/>
        <v>45.014400000000002</v>
      </c>
      <c r="M3">
        <f t="shared" si="0"/>
        <v>34.271999999999998</v>
      </c>
      <c r="N3">
        <f t="shared" si="0"/>
        <v>29.1996</v>
      </c>
      <c r="O3">
        <f t="shared" si="0"/>
        <v>36.763199999999998</v>
      </c>
      <c r="P3">
        <f t="shared" si="0"/>
        <v>32.7348</v>
      </c>
      <c r="Q3">
        <f t="shared" si="0"/>
        <v>31.582799999999999</v>
      </c>
      <c r="R3">
        <f t="shared" si="0"/>
        <v>21.171599999999998</v>
      </c>
      <c r="S3">
        <f t="shared" si="0"/>
        <v>24.303599999999999</v>
      </c>
      <c r="T3">
        <f t="shared" si="0"/>
        <v>18.741599999999998</v>
      </c>
      <c r="U3">
        <f t="shared" si="0"/>
        <v>28.555199999999999</v>
      </c>
      <c r="V3">
        <f t="shared" si="0"/>
        <v>28.033200000000001</v>
      </c>
      <c r="W3">
        <f t="shared" si="0"/>
        <v>35.593199999999996</v>
      </c>
      <c r="X3">
        <f t="shared" si="0"/>
        <v>44.315999999999995</v>
      </c>
      <c r="Y3">
        <f t="shared" si="0"/>
        <v>53.8416</v>
      </c>
      <c r="Z3">
        <f t="shared" si="0"/>
        <v>78.641999999999996</v>
      </c>
      <c r="AA3">
        <f t="shared" si="0"/>
        <v>85.543199999999999</v>
      </c>
      <c r="AB3">
        <f t="shared" si="0"/>
        <v>86.464799999999997</v>
      </c>
      <c r="AC3">
        <f t="shared" si="0"/>
        <v>67.391999999999996</v>
      </c>
      <c r="AD3">
        <f t="shared" si="0"/>
        <v>64.540800000000004</v>
      </c>
      <c r="AE3">
        <f t="shared" si="0"/>
        <v>62.679600000000001</v>
      </c>
      <c r="AF3">
        <f t="shared" si="0"/>
        <v>28.9116</v>
      </c>
      <c r="AG3">
        <f t="shared" si="0"/>
        <v>40.7376</v>
      </c>
      <c r="AH3">
        <f t="shared" si="0"/>
        <v>51.674399999999999</v>
      </c>
    </row>
    <row r="4" spans="1:34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>SUMIFS($B:$B,$A:$A,$I4,$C:$C,J$2)*0.0036</f>
        <v>-28.177199999999999</v>
      </c>
      <c r="K4">
        <f t="shared" si="0"/>
        <v>-24.217199999999998</v>
      </c>
      <c r="L4">
        <f t="shared" si="0"/>
        <v>-25.83</v>
      </c>
      <c r="M4">
        <f t="shared" si="0"/>
        <v>-29.725200000000001</v>
      </c>
      <c r="N4">
        <f t="shared" si="0"/>
        <v>-40.1004</v>
      </c>
      <c r="O4">
        <f t="shared" si="0"/>
        <v>-41.597999999999999</v>
      </c>
      <c r="P4">
        <f t="shared" si="0"/>
        <v>-44.5428</v>
      </c>
      <c r="Q4">
        <f t="shared" si="0"/>
        <v>-52.2864</v>
      </c>
      <c r="R4">
        <f t="shared" si="0"/>
        <v>-60.911999999999999</v>
      </c>
      <c r="S4">
        <f t="shared" si="0"/>
        <v>-53.478000000000002</v>
      </c>
      <c r="T4">
        <f t="shared" si="0"/>
        <v>-48.740400000000001</v>
      </c>
      <c r="U4">
        <f t="shared" si="0"/>
        <v>-50.482799999999997</v>
      </c>
      <c r="V4">
        <f t="shared" si="0"/>
        <v>-68.349599999999995</v>
      </c>
      <c r="W4">
        <f t="shared" si="0"/>
        <v>-59.896799999999999</v>
      </c>
      <c r="X4">
        <f t="shared" si="0"/>
        <v>-56.577599999999997</v>
      </c>
      <c r="Y4">
        <f t="shared" si="0"/>
        <v>-54.320399999999999</v>
      </c>
      <c r="Z4">
        <f t="shared" si="0"/>
        <v>-51.040799999999997</v>
      </c>
      <c r="AA4">
        <f t="shared" si="0"/>
        <v>-52.534799999999997</v>
      </c>
      <c r="AB4">
        <f t="shared" si="0"/>
        <v>-46.497599999999998</v>
      </c>
      <c r="AC4">
        <f t="shared" si="0"/>
        <v>-42.688800000000001</v>
      </c>
      <c r="AD4">
        <f t="shared" si="0"/>
        <v>-52.732799999999997</v>
      </c>
      <c r="AE4">
        <f t="shared" si="0"/>
        <v>-59.608799999999995</v>
      </c>
      <c r="AF4">
        <f t="shared" si="0"/>
        <v>-100.19879999999999</v>
      </c>
      <c r="AG4">
        <f t="shared" si="0"/>
        <v>-90.979199999999992</v>
      </c>
      <c r="AH4">
        <f t="shared" si="0"/>
        <v>-88.491599999999991</v>
      </c>
    </row>
    <row r="5" spans="1:34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>SUM(J3,J4)</f>
        <v>15.9876</v>
      </c>
      <c r="K5">
        <f>SUM(K3,K4)</f>
        <v>12.420000000000002</v>
      </c>
      <c r="L5">
        <f t="shared" ref="L5:AH5" si="1">SUM(L3,L4)</f>
        <v>19.184400000000004</v>
      </c>
      <c r="M5">
        <f t="shared" si="1"/>
        <v>4.5467999999999975</v>
      </c>
      <c r="N5">
        <f t="shared" si="1"/>
        <v>-10.9008</v>
      </c>
      <c r="O5">
        <f t="shared" si="1"/>
        <v>-4.8348000000000013</v>
      </c>
      <c r="P5">
        <f t="shared" si="1"/>
        <v>-11.808</v>
      </c>
      <c r="Q5">
        <f t="shared" si="1"/>
        <v>-20.703600000000002</v>
      </c>
      <c r="R5">
        <f t="shared" si="1"/>
        <v>-39.740400000000001</v>
      </c>
      <c r="S5">
        <f t="shared" si="1"/>
        <v>-29.174400000000002</v>
      </c>
      <c r="T5">
        <f t="shared" si="1"/>
        <v>-29.998800000000003</v>
      </c>
      <c r="U5">
        <f t="shared" si="1"/>
        <v>-21.927599999999998</v>
      </c>
      <c r="V5">
        <f t="shared" si="1"/>
        <v>-40.316399999999994</v>
      </c>
      <c r="W5">
        <f t="shared" si="1"/>
        <v>-24.303600000000003</v>
      </c>
      <c r="X5">
        <f t="shared" si="1"/>
        <v>-12.261600000000001</v>
      </c>
      <c r="Y5">
        <f t="shared" si="1"/>
        <v>-0.47879999999999967</v>
      </c>
      <c r="Z5">
        <f t="shared" si="1"/>
        <v>27.601199999999999</v>
      </c>
      <c r="AA5">
        <f t="shared" si="1"/>
        <v>33.008400000000002</v>
      </c>
      <c r="AB5">
        <f t="shared" si="1"/>
        <v>39.967199999999998</v>
      </c>
      <c r="AC5">
        <f t="shared" si="1"/>
        <v>24.703199999999995</v>
      </c>
      <c r="AD5">
        <f t="shared" si="1"/>
        <v>11.808000000000007</v>
      </c>
      <c r="AE5">
        <f t="shared" si="1"/>
        <v>3.0708000000000055</v>
      </c>
      <c r="AF5">
        <f t="shared" si="1"/>
        <v>-71.287199999999984</v>
      </c>
      <c r="AG5">
        <f t="shared" si="1"/>
        <v>-50.241599999999991</v>
      </c>
      <c r="AH5">
        <f t="shared" si="1"/>
        <v>-36.817199999999993</v>
      </c>
    </row>
    <row r="6" spans="1:34" x14ac:dyDescent="0.3">
      <c r="A6" t="s">
        <v>20</v>
      </c>
      <c r="B6">
        <v>8111</v>
      </c>
      <c r="C6">
        <v>2004</v>
      </c>
      <c r="D6" t="s">
        <v>22</v>
      </c>
    </row>
    <row r="7" spans="1:34" x14ac:dyDescent="0.3">
      <c r="A7" t="s">
        <v>20</v>
      </c>
      <c r="B7">
        <v>10212</v>
      </c>
      <c r="C7">
        <v>2005</v>
      </c>
      <c r="D7" t="s">
        <v>22</v>
      </c>
    </row>
    <row r="8" spans="1:34" x14ac:dyDescent="0.3">
      <c r="A8" t="s">
        <v>20</v>
      </c>
      <c r="B8">
        <v>9093</v>
      </c>
      <c r="C8">
        <v>2006</v>
      </c>
      <c r="D8" t="s">
        <v>22</v>
      </c>
    </row>
    <row r="9" spans="1:34" x14ac:dyDescent="0.3">
      <c r="A9" t="s">
        <v>20</v>
      </c>
      <c r="B9">
        <v>8773</v>
      </c>
      <c r="C9">
        <v>2007</v>
      </c>
      <c r="D9" t="s">
        <v>22</v>
      </c>
    </row>
    <row r="10" spans="1:34" x14ac:dyDescent="0.3">
      <c r="A10" t="s">
        <v>20</v>
      </c>
      <c r="B10">
        <v>5881</v>
      </c>
      <c r="C10">
        <v>2008</v>
      </c>
      <c r="D10" t="s">
        <v>22</v>
      </c>
    </row>
    <row r="11" spans="1:34" x14ac:dyDescent="0.3">
      <c r="A11" t="s">
        <v>20</v>
      </c>
      <c r="B11">
        <v>6751</v>
      </c>
      <c r="C11">
        <v>2009</v>
      </c>
      <c r="D11" t="s">
        <v>22</v>
      </c>
    </row>
    <row r="12" spans="1:34" x14ac:dyDescent="0.3">
      <c r="A12" t="s">
        <v>20</v>
      </c>
      <c r="B12">
        <v>5206</v>
      </c>
      <c r="C12">
        <v>2010</v>
      </c>
      <c r="D12" t="s">
        <v>22</v>
      </c>
    </row>
    <row r="13" spans="1:34" x14ac:dyDescent="0.3">
      <c r="A13" t="s">
        <v>20</v>
      </c>
      <c r="B13">
        <v>7932</v>
      </c>
      <c r="C13">
        <v>2011</v>
      </c>
      <c r="D13" t="s">
        <v>22</v>
      </c>
    </row>
    <row r="14" spans="1:34" x14ac:dyDescent="0.3">
      <c r="A14" t="s">
        <v>20</v>
      </c>
      <c r="B14">
        <v>7787</v>
      </c>
      <c r="C14">
        <v>2012</v>
      </c>
      <c r="D14" t="s">
        <v>22</v>
      </c>
    </row>
    <row r="15" spans="1:34" x14ac:dyDescent="0.3">
      <c r="A15" t="s">
        <v>20</v>
      </c>
      <c r="B15">
        <v>9887</v>
      </c>
      <c r="C15">
        <v>2013</v>
      </c>
      <c r="D15" t="s">
        <v>22</v>
      </c>
    </row>
    <row r="16" spans="1:34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G97"/>
  <sheetViews>
    <sheetView topLeftCell="L8" workbookViewId="0">
      <selection activeCell="AD19" sqref="AD19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33" x14ac:dyDescent="0.3">
      <c r="A1" t="s">
        <v>24</v>
      </c>
      <c r="B1" t="s">
        <v>1</v>
      </c>
      <c r="C1" t="s">
        <v>2</v>
      </c>
      <c r="D1" t="s">
        <v>3</v>
      </c>
    </row>
    <row r="2" spans="1:33" x14ac:dyDescent="0.3">
      <c r="A2" t="s">
        <v>4</v>
      </c>
      <c r="B2">
        <v>75.856999999999999</v>
      </c>
      <c r="C2">
        <v>2000</v>
      </c>
      <c r="D2" t="s">
        <v>26</v>
      </c>
      <c r="J2">
        <v>2000</v>
      </c>
      <c r="K2">
        <v>2001</v>
      </c>
      <c r="L2">
        <v>2002</v>
      </c>
      <c r="M2">
        <v>2003</v>
      </c>
      <c r="N2">
        <v>2004</v>
      </c>
      <c r="O2">
        <v>2005</v>
      </c>
      <c r="P2">
        <v>2006</v>
      </c>
      <c r="Q2">
        <v>2007</v>
      </c>
      <c r="R2">
        <v>2008</v>
      </c>
      <c r="S2">
        <v>2009</v>
      </c>
      <c r="T2">
        <v>2010</v>
      </c>
      <c r="U2">
        <v>2011</v>
      </c>
      <c r="V2">
        <v>2012</v>
      </c>
      <c r="W2">
        <v>2013</v>
      </c>
      <c r="X2">
        <v>2014</v>
      </c>
      <c r="Y2">
        <v>2015</v>
      </c>
      <c r="Z2">
        <v>2016</v>
      </c>
      <c r="AA2">
        <v>2017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</row>
    <row r="3" spans="1:33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>SUMIFS($B:$B,$A:$A,$I3,$C:$C,J$2)</f>
        <v>75.856999999999999</v>
      </c>
      <c r="K3" s="2">
        <f t="shared" ref="K3:AG6" si="0">SUMIFS($B:$B,$A:$A,$I3,$C:$C,K$2)</f>
        <v>67.123999999999995</v>
      </c>
      <c r="L3" s="2">
        <f t="shared" si="0"/>
        <v>76.909000000000006</v>
      </c>
      <c r="M3" s="2">
        <f t="shared" si="0"/>
        <v>70.673000000000002</v>
      </c>
      <c r="N3" s="2">
        <f t="shared" si="0"/>
        <v>73.147000000000006</v>
      </c>
      <c r="O3" s="2">
        <f t="shared" si="0"/>
        <v>73.171999999999997</v>
      </c>
      <c r="P3" s="2">
        <f t="shared" si="0"/>
        <v>62.594999999999999</v>
      </c>
      <c r="Q3" s="2">
        <f t="shared" si="0"/>
        <v>71.436000000000007</v>
      </c>
      <c r="R3" s="2">
        <f t="shared" si="0"/>
        <v>46.113999999999997</v>
      </c>
      <c r="S3" s="2">
        <f t="shared" si="0"/>
        <v>35.026000000000003</v>
      </c>
      <c r="T3" s="2">
        <f t="shared" si="0"/>
        <v>25.3</v>
      </c>
      <c r="U3" s="2">
        <f t="shared" si="0"/>
        <v>44.177999999999997</v>
      </c>
      <c r="V3" s="2">
        <f t="shared" si="0"/>
        <v>53.131999999999998</v>
      </c>
      <c r="W3" s="2">
        <f t="shared" si="0"/>
        <v>38.640999999999998</v>
      </c>
      <c r="X3" s="2">
        <f t="shared" si="0"/>
        <v>42.912999999999997</v>
      </c>
      <c r="Y3" s="2">
        <f t="shared" si="0"/>
        <v>49.125</v>
      </c>
      <c r="Z3" s="2">
        <f t="shared" si="0"/>
        <v>35.423000000000002</v>
      </c>
      <c r="AA3" s="2">
        <f t="shared" si="0"/>
        <v>44.04</v>
      </c>
      <c r="AB3" s="2">
        <f t="shared" si="0"/>
        <v>36.701999999999998</v>
      </c>
      <c r="AC3" s="2">
        <f t="shared" si="0"/>
        <v>14.217000000000001</v>
      </c>
      <c r="AD3" s="2">
        <f t="shared" si="0"/>
        <v>6.4909999999999997</v>
      </c>
      <c r="AE3" s="2">
        <f t="shared" si="0"/>
        <v>7.1749999999999998</v>
      </c>
      <c r="AF3" s="2">
        <f t="shared" si="0"/>
        <v>8.9670000000000005</v>
      </c>
      <c r="AG3" s="2">
        <f t="shared" si="0"/>
        <v>5.43</v>
      </c>
    </row>
    <row r="4" spans="1:33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ref="J4:J6" si="1">SUMIFS($B:$B,$A:$A,$I4,$C:$C,J$2)</f>
        <v>14.377000000000001</v>
      </c>
      <c r="K4" s="2">
        <f t="shared" si="0"/>
        <v>16.364999999999998</v>
      </c>
      <c r="L4" s="2">
        <f t="shared" si="0"/>
        <v>18.884</v>
      </c>
      <c r="M4" s="2">
        <f t="shared" si="0"/>
        <v>15.645</v>
      </c>
      <c r="N4" s="2">
        <f t="shared" si="0"/>
        <v>15.881</v>
      </c>
      <c r="O4" s="2">
        <f t="shared" si="0"/>
        <v>17.149999999999999</v>
      </c>
      <c r="P4" s="2">
        <f t="shared" si="0"/>
        <v>14.491</v>
      </c>
      <c r="Q4" s="2">
        <f t="shared" si="0"/>
        <v>13.48</v>
      </c>
      <c r="R4" s="2">
        <f t="shared" si="0"/>
        <v>12.941000000000001</v>
      </c>
      <c r="S4" s="2">
        <f t="shared" si="0"/>
        <v>12.904999999999999</v>
      </c>
      <c r="T4" s="2">
        <f t="shared" si="0"/>
        <v>11.218</v>
      </c>
      <c r="U4" s="2">
        <f t="shared" si="0"/>
        <v>10.52</v>
      </c>
      <c r="V4" s="2">
        <f t="shared" si="0"/>
        <v>10.917</v>
      </c>
      <c r="W4" s="2">
        <f t="shared" si="0"/>
        <v>9.4359999999999999</v>
      </c>
      <c r="X4" s="2">
        <f t="shared" si="0"/>
        <v>9.9710000000000001</v>
      </c>
      <c r="Y4" s="2">
        <f t="shared" si="0"/>
        <v>11.891999999999999</v>
      </c>
      <c r="Z4" s="2">
        <f t="shared" si="0"/>
        <v>11.385999999999999</v>
      </c>
      <c r="AA4" s="2">
        <f t="shared" si="0"/>
        <v>10.512</v>
      </c>
      <c r="AB4" s="2">
        <f t="shared" si="0"/>
        <v>9.5120000000000005</v>
      </c>
      <c r="AC4" s="2">
        <f t="shared" si="0"/>
        <v>8.1780000000000008</v>
      </c>
      <c r="AD4" s="2">
        <f t="shared" si="0"/>
        <v>6.718</v>
      </c>
      <c r="AE4" s="2">
        <f t="shared" si="0"/>
        <v>6.3220000000000001</v>
      </c>
      <c r="AF4" s="2">
        <f t="shared" si="0"/>
        <v>6.7210000000000001</v>
      </c>
      <c r="AG4" s="2">
        <f t="shared" si="0"/>
        <v>6.24</v>
      </c>
    </row>
    <row r="5" spans="1:33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1"/>
        <v>6.3049999999999997</v>
      </c>
      <c r="K5" s="2">
        <f t="shared" si="0"/>
        <v>6.5990000000000002</v>
      </c>
      <c r="L5" s="2">
        <f t="shared" si="0"/>
        <v>10.571999999999999</v>
      </c>
      <c r="M5" s="2">
        <f t="shared" si="0"/>
        <v>12.510999999999999</v>
      </c>
      <c r="N5" s="2">
        <f t="shared" si="0"/>
        <v>18.088000000000001</v>
      </c>
      <c r="O5" s="2">
        <f t="shared" si="0"/>
        <v>25.361999999999998</v>
      </c>
      <c r="P5" s="2">
        <f t="shared" si="0"/>
        <v>32.406999999999996</v>
      </c>
      <c r="Q5" s="2">
        <f t="shared" si="0"/>
        <v>32.332999999999998</v>
      </c>
      <c r="R5" s="2">
        <f t="shared" si="0"/>
        <v>42.374000000000002</v>
      </c>
      <c r="S5" s="2">
        <f t="shared" si="0"/>
        <v>38.268000000000001</v>
      </c>
      <c r="T5" s="2">
        <f t="shared" si="0"/>
        <v>34.341999999999999</v>
      </c>
      <c r="U5" s="2">
        <f t="shared" si="0"/>
        <v>30.934000000000001</v>
      </c>
      <c r="V5" s="2">
        <f t="shared" si="0"/>
        <v>26.295999999999999</v>
      </c>
      <c r="W5" s="2">
        <f t="shared" si="0"/>
        <v>20.146999999999998</v>
      </c>
      <c r="X5" s="2">
        <f t="shared" si="0"/>
        <v>16.512</v>
      </c>
      <c r="Y5" s="2">
        <f t="shared" si="0"/>
        <v>19.401</v>
      </c>
      <c r="Z5" s="2">
        <f t="shared" si="0"/>
        <v>19.056999999999999</v>
      </c>
      <c r="AA5" s="2">
        <f t="shared" si="0"/>
        <v>23.382999999999999</v>
      </c>
      <c r="AB5" s="2">
        <f t="shared" si="0"/>
        <v>21.161999999999999</v>
      </c>
      <c r="AC5" s="2">
        <f t="shared" si="0"/>
        <v>30.029</v>
      </c>
      <c r="AD5" s="2">
        <f t="shared" si="0"/>
        <v>25.106999999999999</v>
      </c>
      <c r="AE5" s="2">
        <f t="shared" si="0"/>
        <v>25.800999999999998</v>
      </c>
      <c r="AF5" s="2">
        <f t="shared" si="0"/>
        <v>32.043999999999997</v>
      </c>
      <c r="AG5" s="2">
        <f t="shared" si="0"/>
        <v>24.222999999999999</v>
      </c>
    </row>
    <row r="6" spans="1:33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1"/>
        <v>0.88800000000000001</v>
      </c>
      <c r="K6" s="2">
        <f t="shared" si="0"/>
        <v>0.53400000000000003</v>
      </c>
      <c r="L6" s="2">
        <f t="shared" si="0"/>
        <v>0.374</v>
      </c>
      <c r="M6" s="2">
        <f t="shared" si="0"/>
        <v>0.436</v>
      </c>
      <c r="N6" s="2">
        <f t="shared" si="0"/>
        <v>0.46899999999999997</v>
      </c>
      <c r="O6" s="2">
        <f t="shared" si="0"/>
        <v>0.72599999999999998</v>
      </c>
      <c r="P6" s="2">
        <f t="shared" si="0"/>
        <v>0.96699999999999997</v>
      </c>
      <c r="Q6" s="2">
        <f t="shared" si="0"/>
        <v>1.1870000000000001</v>
      </c>
      <c r="R6" s="2">
        <f t="shared" si="0"/>
        <v>1.2589999999999999</v>
      </c>
      <c r="S6" s="2">
        <f t="shared" si="0"/>
        <v>1.2250000000000001</v>
      </c>
      <c r="T6" s="2">
        <f t="shared" si="0"/>
        <v>0.66800000000000004</v>
      </c>
      <c r="U6" s="2">
        <f t="shared" si="0"/>
        <v>0.748</v>
      </c>
      <c r="V6" s="2">
        <f t="shared" si="0"/>
        <v>0.67400000000000004</v>
      </c>
      <c r="W6" s="2">
        <f t="shared" si="0"/>
        <v>0.76600000000000001</v>
      </c>
      <c r="X6" s="2">
        <f t="shared" si="0"/>
        <v>0.78300000000000003</v>
      </c>
      <c r="Y6" s="2">
        <f t="shared" si="0"/>
        <v>0.95799999999999996</v>
      </c>
      <c r="Z6" s="2">
        <f t="shared" si="0"/>
        <v>0.88100000000000001</v>
      </c>
      <c r="AA6" s="2">
        <f t="shared" si="0"/>
        <v>0.97</v>
      </c>
      <c r="AB6" s="2">
        <f t="shared" si="0"/>
        <v>1.3839999999999999</v>
      </c>
      <c r="AC6" s="2">
        <f t="shared" si="0"/>
        <v>1.3080000000000001</v>
      </c>
      <c r="AD6" s="2">
        <f t="shared" si="0"/>
        <v>1.5760000000000001</v>
      </c>
      <c r="AE6" s="2">
        <f t="shared" si="0"/>
        <v>1.323</v>
      </c>
      <c r="AF6" s="2">
        <f t="shared" si="0"/>
        <v>1.3180000000000001</v>
      </c>
      <c r="AG6" s="2">
        <f t="shared" si="0"/>
        <v>1.22</v>
      </c>
    </row>
    <row r="7" spans="1:33" x14ac:dyDescent="0.3">
      <c r="A7" t="s">
        <v>4</v>
      </c>
      <c r="B7">
        <v>73.171999999999997</v>
      </c>
      <c r="C7">
        <v>2005</v>
      </c>
      <c r="D7" t="s">
        <v>26</v>
      </c>
    </row>
    <row r="8" spans="1:33" x14ac:dyDescent="0.3">
      <c r="A8" t="s">
        <v>4</v>
      </c>
      <c r="B8">
        <v>62.594999999999999</v>
      </c>
      <c r="C8">
        <v>2006</v>
      </c>
      <c r="D8" t="s">
        <v>26</v>
      </c>
    </row>
    <row r="9" spans="1:33" x14ac:dyDescent="0.3">
      <c r="A9" t="s">
        <v>4</v>
      </c>
      <c r="B9">
        <v>71.436000000000007</v>
      </c>
      <c r="C9">
        <v>2007</v>
      </c>
      <c r="D9" t="s">
        <v>26</v>
      </c>
    </row>
    <row r="10" spans="1:33" x14ac:dyDescent="0.3">
      <c r="A10" t="s">
        <v>4</v>
      </c>
      <c r="B10">
        <v>46.113999999999997</v>
      </c>
      <c r="C10">
        <v>2008</v>
      </c>
      <c r="D10" t="s">
        <v>26</v>
      </c>
    </row>
    <row r="11" spans="1:33" x14ac:dyDescent="0.3">
      <c r="A11" t="s">
        <v>4</v>
      </c>
      <c r="B11">
        <v>35.026000000000003</v>
      </c>
      <c r="C11">
        <v>2009</v>
      </c>
      <c r="D11" t="s">
        <v>26</v>
      </c>
    </row>
    <row r="12" spans="1:33" x14ac:dyDescent="0.3">
      <c r="A12" t="s">
        <v>4</v>
      </c>
      <c r="B12">
        <v>25.3</v>
      </c>
      <c r="C12">
        <v>2010</v>
      </c>
      <c r="D12" t="s">
        <v>26</v>
      </c>
    </row>
    <row r="13" spans="1:33" x14ac:dyDescent="0.3">
      <c r="A13" t="s">
        <v>4</v>
      </c>
      <c r="B13">
        <v>44.177999999999997</v>
      </c>
      <c r="C13">
        <v>2011</v>
      </c>
      <c r="D13" t="s">
        <v>26</v>
      </c>
    </row>
    <row r="14" spans="1:33" x14ac:dyDescent="0.3">
      <c r="A14" t="s">
        <v>4</v>
      </c>
      <c r="B14">
        <v>53.131999999999998</v>
      </c>
      <c r="C14">
        <v>2012</v>
      </c>
      <c r="D14" t="s">
        <v>26</v>
      </c>
    </row>
    <row r="15" spans="1:33" x14ac:dyDescent="0.3">
      <c r="A15" t="s">
        <v>4</v>
      </c>
      <c r="B15">
        <v>38.640999999999998</v>
      </c>
      <c r="C15">
        <v>2013</v>
      </c>
      <c r="D15" t="s">
        <v>26</v>
      </c>
    </row>
    <row r="16" spans="1:33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abSelected="1" topLeftCell="A6" workbookViewId="0">
      <selection activeCell="G7" sqref="G7:G31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4.4" x14ac:dyDescent="0.3"/>
  <cols>
    <col min="1" max="1" width="13.33203125" customWidth="1"/>
  </cols>
  <sheetData>
    <row r="2" spans="1:4" x14ac:dyDescent="0.3">
      <c r="A2" s="3" t="s">
        <v>32</v>
      </c>
      <c r="B2" s="3"/>
      <c r="C2" s="3"/>
      <c r="D2">
        <f>0.036</f>
        <v>3.5999999999999997E-2</v>
      </c>
    </row>
    <row r="3" spans="1:4" x14ac:dyDescent="0.3">
      <c r="A3" t="s">
        <v>31</v>
      </c>
      <c r="B3" t="s">
        <v>22</v>
      </c>
    </row>
    <row r="4" spans="1:4" x14ac:dyDescent="0.3">
      <c r="A4">
        <v>15.5</v>
      </c>
      <c r="B4">
        <f>A4*(1/D2)</f>
        <v>430.55555555555554</v>
      </c>
    </row>
    <row r="6" spans="1:4" x14ac:dyDescent="0.3">
      <c r="A6" t="s">
        <v>22</v>
      </c>
      <c r="B6" t="s">
        <v>31</v>
      </c>
    </row>
    <row r="7" spans="1:4" x14ac:dyDescent="0.3">
      <c r="A7">
        <v>50000</v>
      </c>
      <c r="B7">
        <f>A7*D2</f>
        <v>1799.9999999999998</v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ELC_Generation</vt:lpstr>
      <vt:lpstr>ImpExp</vt:lpstr>
      <vt:lpstr>Emissions</vt:lpstr>
      <vt:lpstr>ELC_Consumption</vt:lpstr>
      <vt:lpstr>Computations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Gnocchi  Riccardo</cp:lastModifiedBy>
  <dcterms:created xsi:type="dcterms:W3CDTF">2026-06-02T18:21:07Z</dcterms:created>
  <dcterms:modified xsi:type="dcterms:W3CDTF">2026-06-05T21:57:54Z</dcterms:modified>
</cp:coreProperties>
</file>
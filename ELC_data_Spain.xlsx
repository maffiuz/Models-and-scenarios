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itoit-my.sharepoint.com/personal/s347160_studenti_polito_it/Documents/Desktop/"/>
    </mc:Choice>
  </mc:AlternateContent>
  <xr:revisionPtr revIDLastSave="0" documentId="8_{76AE923E-6FFF-4F14-83BA-5326F1D8B3E3}" xr6:coauthVersionLast="47" xr6:coauthVersionMax="47" xr10:uidLastSave="{00000000-0000-0000-0000-000000000000}"/>
  <bookViews>
    <workbookView xWindow="-108" yWindow="-108" windowWidth="23256" windowHeight="12456" activeTab="3" xr2:uid="{8BBF5E45-81C8-439F-BD27-48A9AF2DFBEB}"/>
  </bookViews>
  <sheets>
    <sheet name="ELC_Generation" sheetId="1" r:id="rId1"/>
    <sheet name="ImpExp" sheetId="2" r:id="rId2"/>
    <sheet name="Emissions" sheetId="3" r:id="rId3"/>
    <sheet name="ELC_Consumption" sheetId="4" r:id="rId4"/>
  </sheets>
  <calcPr calcId="0"/>
</workbook>
</file>

<file path=xl/calcChain.xml><?xml version="1.0" encoding="utf-8"?>
<calcChain xmlns="http://schemas.openxmlformats.org/spreadsheetml/2006/main">
  <c r="G31" i="4" l="1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F5" i="4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J3" i="3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K5" i="2"/>
  <c r="J5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J3" i="2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L3" i="1"/>
</calcChain>
</file>

<file path=xl/sharedStrings.xml><?xml version="1.0" encoding="utf-8"?>
<sst xmlns="http://schemas.openxmlformats.org/spreadsheetml/2006/main" count="964" uniqueCount="31">
  <si>
    <t>electricity generation sources in Spain</t>
  </si>
  <si>
    <t>Value</t>
  </si>
  <si>
    <t>Year</t>
  </si>
  <si>
    <t>Units</t>
  </si>
  <si>
    <t>Coal</t>
  </si>
  <si>
    <t xml:space="preserve"> GWh</t>
  </si>
  <si>
    <t>Oil</t>
  </si>
  <si>
    <t>Natural gas</t>
  </si>
  <si>
    <t>Nuclear</t>
  </si>
  <si>
    <t>Hydropower</t>
  </si>
  <si>
    <t>Tide</t>
  </si>
  <si>
    <t>Biofuels</t>
  </si>
  <si>
    <t>Waste</t>
  </si>
  <si>
    <t>Wind</t>
  </si>
  <si>
    <t>Solar PV</t>
  </si>
  <si>
    <t>Solar thermal</t>
  </si>
  <si>
    <t>Other sources</t>
  </si>
  <si>
    <t>Source:</t>
  </si>
  <si>
    <t>Spain - Countries &amp; Regions - IEA</t>
  </si>
  <si>
    <t>electricity, Spain</t>
  </si>
  <si>
    <t>Imports</t>
  </si>
  <si>
    <t>Exports</t>
  </si>
  <si>
    <t>GWh</t>
  </si>
  <si>
    <t>Net</t>
  </si>
  <si>
    <t>emissions from power generation by source in Spain</t>
  </si>
  <si>
    <t>Other</t>
  </si>
  <si>
    <t xml:space="preserve"> MtCO2</t>
  </si>
  <si>
    <t>Source: IEA IEA Data Services https://www.iea.org/data-and-statistics/data-product/world-energy-statistics-balances</t>
  </si>
  <si>
    <t>This data is released under a CC BY 4.0 licence: https://www.iea.org/terms/creative-commons-cc-licenses</t>
  </si>
  <si>
    <t>Electricity consumption</t>
  </si>
  <si>
    <t>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</si>
</sst>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applyAlignment="1"/>
    <xf numFmtId="0" fontId="18" fillId="0" borderId="0" xfId="42"/>
    <xf numFmtId="2" fontId="0" fillId="0" borderId="0" xfId="0" applyNumberFormat="1"/>
  </cellXfs>
  <cellStyles count="43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legamento ipertestuale" xfId="42" builtinId="8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</a:t>
            </a:r>
            <a:r>
              <a:rPr lang="it-IT" baseline="0"/>
              <a:t> Generation by source, Spain;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ELC_Generation!$K$3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ELC_Generation!$L$3:$AJ$3</c:f>
              <c:numCache>
                <c:formatCode>General</c:formatCode>
                <c:ptCount val="25"/>
                <c:pt idx="0">
                  <c:v>80858</c:v>
                </c:pt>
                <c:pt idx="1">
                  <c:v>71734</c:v>
                </c:pt>
                <c:pt idx="2">
                  <c:v>82457</c:v>
                </c:pt>
                <c:pt idx="3">
                  <c:v>75955</c:v>
                </c:pt>
                <c:pt idx="4">
                  <c:v>80323</c:v>
                </c:pt>
                <c:pt idx="5">
                  <c:v>80767</c:v>
                </c:pt>
                <c:pt idx="6">
                  <c:v>67978</c:v>
                </c:pt>
                <c:pt idx="7">
                  <c:v>74085</c:v>
                </c:pt>
                <c:pt idx="8">
                  <c:v>49973</c:v>
                </c:pt>
                <c:pt idx="9">
                  <c:v>36938</c:v>
                </c:pt>
                <c:pt idx="10">
                  <c:v>26323</c:v>
                </c:pt>
                <c:pt idx="11">
                  <c:v>45126</c:v>
                </c:pt>
                <c:pt idx="12">
                  <c:v>55991</c:v>
                </c:pt>
                <c:pt idx="13">
                  <c:v>41332</c:v>
                </c:pt>
                <c:pt idx="14">
                  <c:v>45295</c:v>
                </c:pt>
                <c:pt idx="15">
                  <c:v>52676</c:v>
                </c:pt>
                <c:pt idx="16">
                  <c:v>37453</c:v>
                </c:pt>
                <c:pt idx="17">
                  <c:v>46349</c:v>
                </c:pt>
                <c:pt idx="18">
                  <c:v>38716</c:v>
                </c:pt>
                <c:pt idx="19">
                  <c:v>13982</c:v>
                </c:pt>
                <c:pt idx="20">
                  <c:v>6149</c:v>
                </c:pt>
                <c:pt idx="21">
                  <c:v>6014</c:v>
                </c:pt>
                <c:pt idx="22">
                  <c:v>8696</c:v>
                </c:pt>
                <c:pt idx="23">
                  <c:v>4450</c:v>
                </c:pt>
                <c:pt idx="24">
                  <c:v>3466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A-400D-A36A-50C90F222084}"/>
            </c:ext>
          </c:extLst>
        </c:ser>
        <c:ser>
          <c:idx val="1"/>
          <c:order val="1"/>
          <c:tx>
            <c:strRef>
              <c:f>ELC_Generation!$K$4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ELC_Generation!$L$4:$AJ$4</c:f>
              <c:numCache>
                <c:formatCode>General</c:formatCode>
                <c:ptCount val="25"/>
                <c:pt idx="0">
                  <c:v>22578</c:v>
                </c:pt>
                <c:pt idx="1">
                  <c:v>24632</c:v>
                </c:pt>
                <c:pt idx="2">
                  <c:v>28593</c:v>
                </c:pt>
                <c:pt idx="3">
                  <c:v>24002</c:v>
                </c:pt>
                <c:pt idx="4">
                  <c:v>23839</c:v>
                </c:pt>
                <c:pt idx="5">
                  <c:v>24420</c:v>
                </c:pt>
                <c:pt idx="6">
                  <c:v>23829</c:v>
                </c:pt>
                <c:pt idx="7">
                  <c:v>18508</c:v>
                </c:pt>
                <c:pt idx="8">
                  <c:v>18002</c:v>
                </c:pt>
                <c:pt idx="9">
                  <c:v>19242</c:v>
                </c:pt>
                <c:pt idx="10">
                  <c:v>16562</c:v>
                </c:pt>
                <c:pt idx="11">
                  <c:v>14692</c:v>
                </c:pt>
                <c:pt idx="12">
                  <c:v>15321</c:v>
                </c:pt>
                <c:pt idx="13">
                  <c:v>13763</c:v>
                </c:pt>
                <c:pt idx="14">
                  <c:v>14121</c:v>
                </c:pt>
                <c:pt idx="15">
                  <c:v>17241</c:v>
                </c:pt>
                <c:pt idx="16">
                  <c:v>16921</c:v>
                </c:pt>
                <c:pt idx="17">
                  <c:v>15766</c:v>
                </c:pt>
                <c:pt idx="18">
                  <c:v>14498</c:v>
                </c:pt>
                <c:pt idx="19">
                  <c:v>12883</c:v>
                </c:pt>
                <c:pt idx="20">
                  <c:v>10704</c:v>
                </c:pt>
                <c:pt idx="21">
                  <c:v>10044</c:v>
                </c:pt>
                <c:pt idx="22">
                  <c:v>10590</c:v>
                </c:pt>
                <c:pt idx="23">
                  <c:v>9288</c:v>
                </c:pt>
                <c:pt idx="24">
                  <c:v>9123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9A-400D-A36A-50C90F222084}"/>
            </c:ext>
          </c:extLst>
        </c:ser>
        <c:ser>
          <c:idx val="2"/>
          <c:order val="2"/>
          <c:tx>
            <c:strRef>
              <c:f>ELC_Generation!$K$5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ELC_Generation!$L$5:$AJ$5</c:f>
              <c:numCache>
                <c:formatCode>General</c:formatCode>
                <c:ptCount val="25"/>
                <c:pt idx="0">
                  <c:v>20178</c:v>
                </c:pt>
                <c:pt idx="1">
                  <c:v>23358</c:v>
                </c:pt>
                <c:pt idx="2">
                  <c:v>32386</c:v>
                </c:pt>
                <c:pt idx="3">
                  <c:v>39368</c:v>
                </c:pt>
                <c:pt idx="4">
                  <c:v>55460</c:v>
                </c:pt>
                <c:pt idx="5">
                  <c:v>79011</c:v>
                </c:pt>
                <c:pt idx="6">
                  <c:v>90570</c:v>
                </c:pt>
                <c:pt idx="7">
                  <c:v>94799</c:v>
                </c:pt>
                <c:pt idx="8">
                  <c:v>120798</c:v>
                </c:pt>
                <c:pt idx="9">
                  <c:v>107746</c:v>
                </c:pt>
                <c:pt idx="10">
                  <c:v>94851</c:v>
                </c:pt>
                <c:pt idx="11">
                  <c:v>85508</c:v>
                </c:pt>
                <c:pt idx="12">
                  <c:v>73308</c:v>
                </c:pt>
                <c:pt idx="13">
                  <c:v>57536</c:v>
                </c:pt>
                <c:pt idx="14">
                  <c:v>47273</c:v>
                </c:pt>
                <c:pt idx="15">
                  <c:v>52498</c:v>
                </c:pt>
                <c:pt idx="16">
                  <c:v>52820</c:v>
                </c:pt>
                <c:pt idx="17">
                  <c:v>64037</c:v>
                </c:pt>
                <c:pt idx="18">
                  <c:v>58004</c:v>
                </c:pt>
                <c:pt idx="19">
                  <c:v>83703</c:v>
                </c:pt>
                <c:pt idx="20">
                  <c:v>69739</c:v>
                </c:pt>
                <c:pt idx="21">
                  <c:v>71502</c:v>
                </c:pt>
                <c:pt idx="22">
                  <c:v>85975</c:v>
                </c:pt>
                <c:pt idx="23">
                  <c:v>64272</c:v>
                </c:pt>
                <c:pt idx="24">
                  <c:v>52329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9A-400D-A36A-50C90F222084}"/>
            </c:ext>
          </c:extLst>
        </c:ser>
        <c:ser>
          <c:idx val="3"/>
          <c:order val="3"/>
          <c:tx>
            <c:strRef>
              <c:f>ELC_Generation!$K$6</c:f>
              <c:strCache>
                <c:ptCount val="1"/>
                <c:pt idx="0">
                  <c:v>Nuclear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ELC_Generation!$L$6:$AJ$6</c:f>
              <c:numCache>
                <c:formatCode>General</c:formatCode>
                <c:ptCount val="25"/>
                <c:pt idx="0">
                  <c:v>62206</c:v>
                </c:pt>
                <c:pt idx="1">
                  <c:v>63708</c:v>
                </c:pt>
                <c:pt idx="2">
                  <c:v>63016</c:v>
                </c:pt>
                <c:pt idx="3">
                  <c:v>61875</c:v>
                </c:pt>
                <c:pt idx="4">
                  <c:v>63606</c:v>
                </c:pt>
                <c:pt idx="5">
                  <c:v>57539</c:v>
                </c:pt>
                <c:pt idx="6">
                  <c:v>60126</c:v>
                </c:pt>
                <c:pt idx="7">
                  <c:v>55103</c:v>
                </c:pt>
                <c:pt idx="8">
                  <c:v>58973</c:v>
                </c:pt>
                <c:pt idx="9">
                  <c:v>52761</c:v>
                </c:pt>
                <c:pt idx="10">
                  <c:v>61990</c:v>
                </c:pt>
                <c:pt idx="11">
                  <c:v>57718</c:v>
                </c:pt>
                <c:pt idx="12">
                  <c:v>61470</c:v>
                </c:pt>
                <c:pt idx="13">
                  <c:v>56726</c:v>
                </c:pt>
                <c:pt idx="14">
                  <c:v>57305</c:v>
                </c:pt>
                <c:pt idx="15">
                  <c:v>57196</c:v>
                </c:pt>
                <c:pt idx="16">
                  <c:v>58633</c:v>
                </c:pt>
                <c:pt idx="17">
                  <c:v>58039</c:v>
                </c:pt>
                <c:pt idx="18">
                  <c:v>55766</c:v>
                </c:pt>
                <c:pt idx="19">
                  <c:v>58349</c:v>
                </c:pt>
                <c:pt idx="20">
                  <c:v>58299</c:v>
                </c:pt>
                <c:pt idx="21">
                  <c:v>56564</c:v>
                </c:pt>
                <c:pt idx="22">
                  <c:v>58590</c:v>
                </c:pt>
                <c:pt idx="23">
                  <c:v>56873</c:v>
                </c:pt>
                <c:pt idx="24">
                  <c:v>54532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9A-400D-A36A-50C90F222084}"/>
            </c:ext>
          </c:extLst>
        </c:ser>
        <c:ser>
          <c:idx val="4"/>
          <c:order val="4"/>
          <c:tx>
            <c:strRef>
              <c:f>ELC_Generation!$K$7</c:f>
              <c:strCache>
                <c:ptCount val="1"/>
                <c:pt idx="0">
                  <c:v>Hydropower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ELC_Generation!$L$7:$AJ$7</c:f>
              <c:numCache>
                <c:formatCode>General</c:formatCode>
                <c:ptCount val="25"/>
                <c:pt idx="0">
                  <c:v>31807</c:v>
                </c:pt>
                <c:pt idx="1">
                  <c:v>43864</c:v>
                </c:pt>
                <c:pt idx="2">
                  <c:v>26270</c:v>
                </c:pt>
                <c:pt idx="3">
                  <c:v>43897</c:v>
                </c:pt>
                <c:pt idx="4">
                  <c:v>34439</c:v>
                </c:pt>
                <c:pt idx="5">
                  <c:v>23025</c:v>
                </c:pt>
                <c:pt idx="6">
                  <c:v>29831</c:v>
                </c:pt>
                <c:pt idx="7">
                  <c:v>30522</c:v>
                </c:pt>
                <c:pt idx="8">
                  <c:v>26144</c:v>
                </c:pt>
                <c:pt idx="9">
                  <c:v>29162</c:v>
                </c:pt>
                <c:pt idx="10">
                  <c:v>45511</c:v>
                </c:pt>
                <c:pt idx="11">
                  <c:v>32911</c:v>
                </c:pt>
                <c:pt idx="12">
                  <c:v>24162</c:v>
                </c:pt>
                <c:pt idx="13">
                  <c:v>41052</c:v>
                </c:pt>
                <c:pt idx="14">
                  <c:v>42969</c:v>
                </c:pt>
                <c:pt idx="15">
                  <c:v>31368</c:v>
                </c:pt>
                <c:pt idx="16">
                  <c:v>39865</c:v>
                </c:pt>
                <c:pt idx="17">
                  <c:v>21070</c:v>
                </c:pt>
                <c:pt idx="18">
                  <c:v>36803</c:v>
                </c:pt>
                <c:pt idx="19">
                  <c:v>26874</c:v>
                </c:pt>
                <c:pt idx="20">
                  <c:v>33998</c:v>
                </c:pt>
                <c:pt idx="21">
                  <c:v>32847</c:v>
                </c:pt>
                <c:pt idx="22">
                  <c:v>22102</c:v>
                </c:pt>
                <c:pt idx="23">
                  <c:v>31105</c:v>
                </c:pt>
                <c:pt idx="24">
                  <c:v>40821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9A-400D-A36A-50C90F222084}"/>
            </c:ext>
          </c:extLst>
        </c:ser>
        <c:ser>
          <c:idx val="5"/>
          <c:order val="5"/>
          <c:tx>
            <c:strRef>
              <c:f>ELC_Generation!$K$8</c:f>
              <c:strCache>
                <c:ptCount val="1"/>
                <c:pt idx="0">
                  <c:v>Tide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ELC_Generation!$L$8:$AJ$8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20</c:v>
                </c:pt>
                <c:pt idx="20">
                  <c:v>27</c:v>
                </c:pt>
                <c:pt idx="21">
                  <c:v>19</c:v>
                </c:pt>
                <c:pt idx="22">
                  <c:v>23</c:v>
                </c:pt>
                <c:pt idx="23">
                  <c:v>12</c:v>
                </c:pt>
                <c:pt idx="2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9A-400D-A36A-50C90F222084}"/>
            </c:ext>
          </c:extLst>
        </c:ser>
        <c:ser>
          <c:idx val="6"/>
          <c:order val="6"/>
          <c:tx>
            <c:strRef>
              <c:f>ELC_Generation!$K$9</c:f>
              <c:strCache>
                <c:ptCount val="1"/>
                <c:pt idx="0">
                  <c:v>Biofuels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ELC_Generation!$L$9:$AJ$9</c:f>
              <c:numCache>
                <c:formatCode>General</c:formatCode>
                <c:ptCount val="25"/>
                <c:pt idx="0">
                  <c:v>1159</c:v>
                </c:pt>
                <c:pt idx="1">
                  <c:v>1297</c:v>
                </c:pt>
                <c:pt idx="2">
                  <c:v>2303</c:v>
                </c:pt>
                <c:pt idx="3">
                  <c:v>2853</c:v>
                </c:pt>
                <c:pt idx="4">
                  <c:v>3039</c:v>
                </c:pt>
                <c:pt idx="5">
                  <c:v>2202</c:v>
                </c:pt>
                <c:pt idx="6">
                  <c:v>2173</c:v>
                </c:pt>
                <c:pt idx="7">
                  <c:v>2161</c:v>
                </c:pt>
                <c:pt idx="8">
                  <c:v>2473</c:v>
                </c:pt>
                <c:pt idx="9">
                  <c:v>2727</c:v>
                </c:pt>
                <c:pt idx="10">
                  <c:v>3356</c:v>
                </c:pt>
                <c:pt idx="11">
                  <c:v>3814</c:v>
                </c:pt>
                <c:pt idx="12">
                  <c:v>4262</c:v>
                </c:pt>
                <c:pt idx="13">
                  <c:v>5116</c:v>
                </c:pt>
                <c:pt idx="14">
                  <c:v>4728</c:v>
                </c:pt>
                <c:pt idx="15">
                  <c:v>4996</c:v>
                </c:pt>
                <c:pt idx="16">
                  <c:v>4954</c:v>
                </c:pt>
                <c:pt idx="17">
                  <c:v>5306</c:v>
                </c:pt>
                <c:pt idx="18">
                  <c:v>5156</c:v>
                </c:pt>
                <c:pt idx="19">
                  <c:v>4802</c:v>
                </c:pt>
                <c:pt idx="20">
                  <c:v>5435</c:v>
                </c:pt>
                <c:pt idx="21">
                  <c:v>6088</c:v>
                </c:pt>
                <c:pt idx="22">
                  <c:v>5935</c:v>
                </c:pt>
                <c:pt idx="23">
                  <c:v>5062</c:v>
                </c:pt>
                <c:pt idx="24">
                  <c:v>5319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9A-400D-A36A-50C90F222084}"/>
            </c:ext>
          </c:extLst>
        </c:ser>
        <c:ser>
          <c:idx val="7"/>
          <c:order val="7"/>
          <c:tx>
            <c:strRef>
              <c:f>ELC_Generation!$K$10</c:f>
              <c:strCache>
                <c:ptCount val="1"/>
                <c:pt idx="0">
                  <c:v>Waste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ELC_Generation!$L$10:$AJ$10</c:f>
              <c:numCache>
                <c:formatCode>General</c:formatCode>
                <c:ptCount val="25"/>
                <c:pt idx="0">
                  <c:v>941</c:v>
                </c:pt>
                <c:pt idx="1">
                  <c:v>667</c:v>
                </c:pt>
                <c:pt idx="2">
                  <c:v>566</c:v>
                </c:pt>
                <c:pt idx="3">
                  <c:v>661</c:v>
                </c:pt>
                <c:pt idx="4">
                  <c:v>582</c:v>
                </c:pt>
                <c:pt idx="5">
                  <c:v>902</c:v>
                </c:pt>
                <c:pt idx="6">
                  <c:v>1202</c:v>
                </c:pt>
                <c:pt idx="7">
                  <c:v>1474</c:v>
                </c:pt>
                <c:pt idx="8">
                  <c:v>1564</c:v>
                </c:pt>
                <c:pt idx="9">
                  <c:v>1522</c:v>
                </c:pt>
                <c:pt idx="10">
                  <c:v>1318</c:v>
                </c:pt>
                <c:pt idx="11">
                  <c:v>1590</c:v>
                </c:pt>
                <c:pt idx="12">
                  <c:v>1430</c:v>
                </c:pt>
                <c:pt idx="13">
                  <c:v>1364</c:v>
                </c:pt>
                <c:pt idx="14">
                  <c:v>1372</c:v>
                </c:pt>
                <c:pt idx="15">
                  <c:v>1536</c:v>
                </c:pt>
                <c:pt idx="16">
                  <c:v>1470</c:v>
                </c:pt>
                <c:pt idx="17">
                  <c:v>1544</c:v>
                </c:pt>
                <c:pt idx="18">
                  <c:v>1775</c:v>
                </c:pt>
                <c:pt idx="19">
                  <c:v>1755</c:v>
                </c:pt>
                <c:pt idx="20">
                  <c:v>1751</c:v>
                </c:pt>
                <c:pt idx="21">
                  <c:v>1795</c:v>
                </c:pt>
                <c:pt idx="22">
                  <c:v>1754</c:v>
                </c:pt>
                <c:pt idx="23">
                  <c:v>1683</c:v>
                </c:pt>
                <c:pt idx="24">
                  <c:v>1686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9A-400D-A36A-50C90F222084}"/>
            </c:ext>
          </c:extLst>
        </c:ser>
        <c:ser>
          <c:idx val="8"/>
          <c:order val="8"/>
          <c:tx>
            <c:strRef>
              <c:f>ELC_Generation!$K$11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ELC_Generation!$L$11:$AJ$11</c:f>
              <c:numCache>
                <c:formatCode>General</c:formatCode>
                <c:ptCount val="25"/>
                <c:pt idx="0">
                  <c:v>4727</c:v>
                </c:pt>
                <c:pt idx="1">
                  <c:v>6759</c:v>
                </c:pt>
                <c:pt idx="2">
                  <c:v>9342</c:v>
                </c:pt>
                <c:pt idx="3">
                  <c:v>12075</c:v>
                </c:pt>
                <c:pt idx="4">
                  <c:v>15700</c:v>
                </c:pt>
                <c:pt idx="5">
                  <c:v>21176</c:v>
                </c:pt>
                <c:pt idx="6">
                  <c:v>23297</c:v>
                </c:pt>
                <c:pt idx="7">
                  <c:v>27568</c:v>
                </c:pt>
                <c:pt idx="8">
                  <c:v>32946</c:v>
                </c:pt>
                <c:pt idx="9">
                  <c:v>38117</c:v>
                </c:pt>
                <c:pt idx="10">
                  <c:v>44271</c:v>
                </c:pt>
                <c:pt idx="11">
                  <c:v>42918</c:v>
                </c:pt>
                <c:pt idx="12">
                  <c:v>49472</c:v>
                </c:pt>
                <c:pt idx="13">
                  <c:v>55646</c:v>
                </c:pt>
                <c:pt idx="14">
                  <c:v>52013</c:v>
                </c:pt>
                <c:pt idx="15">
                  <c:v>49325</c:v>
                </c:pt>
                <c:pt idx="16">
                  <c:v>48905</c:v>
                </c:pt>
                <c:pt idx="17">
                  <c:v>49127</c:v>
                </c:pt>
                <c:pt idx="18">
                  <c:v>50896</c:v>
                </c:pt>
                <c:pt idx="19">
                  <c:v>55647</c:v>
                </c:pt>
                <c:pt idx="20">
                  <c:v>56444</c:v>
                </c:pt>
                <c:pt idx="21">
                  <c:v>62061</c:v>
                </c:pt>
                <c:pt idx="22">
                  <c:v>62784</c:v>
                </c:pt>
                <c:pt idx="23">
                  <c:v>64275</c:v>
                </c:pt>
                <c:pt idx="24">
                  <c:v>62089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9A-400D-A36A-50C90F222084}"/>
            </c:ext>
          </c:extLst>
        </c:ser>
        <c:ser>
          <c:idx val="9"/>
          <c:order val="9"/>
          <c:tx>
            <c:strRef>
              <c:f>ELC_Generation!$K$12</c:f>
              <c:strCache>
                <c:ptCount val="1"/>
                <c:pt idx="0">
                  <c:v>Solar PV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ELC_Generation!$L$12:$AJ$12</c:f>
              <c:numCache>
                <c:formatCode>General</c:formatCode>
                <c:ptCount val="25"/>
                <c:pt idx="0">
                  <c:v>14</c:v>
                </c:pt>
                <c:pt idx="1">
                  <c:v>17</c:v>
                </c:pt>
                <c:pt idx="2">
                  <c:v>18</c:v>
                </c:pt>
                <c:pt idx="3">
                  <c:v>20</c:v>
                </c:pt>
                <c:pt idx="4">
                  <c:v>23</c:v>
                </c:pt>
                <c:pt idx="5">
                  <c:v>47</c:v>
                </c:pt>
                <c:pt idx="6">
                  <c:v>124</c:v>
                </c:pt>
                <c:pt idx="7">
                  <c:v>507</c:v>
                </c:pt>
                <c:pt idx="8">
                  <c:v>2562</c:v>
                </c:pt>
                <c:pt idx="9">
                  <c:v>5961</c:v>
                </c:pt>
                <c:pt idx="10">
                  <c:v>6425</c:v>
                </c:pt>
                <c:pt idx="11">
                  <c:v>7440</c:v>
                </c:pt>
                <c:pt idx="12">
                  <c:v>8192</c:v>
                </c:pt>
                <c:pt idx="13">
                  <c:v>8326</c:v>
                </c:pt>
                <c:pt idx="14">
                  <c:v>8217</c:v>
                </c:pt>
                <c:pt idx="15">
                  <c:v>8266</c:v>
                </c:pt>
                <c:pt idx="16">
                  <c:v>8063</c:v>
                </c:pt>
                <c:pt idx="17">
                  <c:v>8514</c:v>
                </c:pt>
                <c:pt idx="18">
                  <c:v>7877</c:v>
                </c:pt>
                <c:pt idx="19">
                  <c:v>9420</c:v>
                </c:pt>
                <c:pt idx="20">
                  <c:v>15675</c:v>
                </c:pt>
                <c:pt idx="21">
                  <c:v>21922</c:v>
                </c:pt>
                <c:pt idx="22">
                  <c:v>31187</c:v>
                </c:pt>
                <c:pt idx="23">
                  <c:v>43421</c:v>
                </c:pt>
                <c:pt idx="24">
                  <c:v>53752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9A-400D-A36A-50C90F222084}"/>
            </c:ext>
          </c:extLst>
        </c:ser>
        <c:ser>
          <c:idx val="10"/>
          <c:order val="10"/>
          <c:tx>
            <c:strRef>
              <c:f>ELC_Generation!$K$13</c:f>
              <c:strCache>
                <c:ptCount val="1"/>
                <c:pt idx="0">
                  <c:v>Solar thermal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ELC_Generation!$L$13:$AJ$13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16</c:v>
                </c:pt>
                <c:pt idx="9">
                  <c:v>103</c:v>
                </c:pt>
                <c:pt idx="10">
                  <c:v>761</c:v>
                </c:pt>
                <c:pt idx="11">
                  <c:v>1959</c:v>
                </c:pt>
                <c:pt idx="12">
                  <c:v>3775</c:v>
                </c:pt>
                <c:pt idx="13">
                  <c:v>4769</c:v>
                </c:pt>
                <c:pt idx="14">
                  <c:v>5454</c:v>
                </c:pt>
                <c:pt idx="15">
                  <c:v>5593</c:v>
                </c:pt>
                <c:pt idx="16">
                  <c:v>5579</c:v>
                </c:pt>
                <c:pt idx="17">
                  <c:v>5883</c:v>
                </c:pt>
                <c:pt idx="18">
                  <c:v>4867</c:v>
                </c:pt>
                <c:pt idx="19">
                  <c:v>5683</c:v>
                </c:pt>
                <c:pt idx="20">
                  <c:v>4992</c:v>
                </c:pt>
                <c:pt idx="21">
                  <c:v>5176</c:v>
                </c:pt>
                <c:pt idx="22">
                  <c:v>4536</c:v>
                </c:pt>
                <c:pt idx="23">
                  <c:v>5165</c:v>
                </c:pt>
                <c:pt idx="24">
                  <c:v>4540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69A-400D-A36A-50C90F222084}"/>
            </c:ext>
          </c:extLst>
        </c:ser>
        <c:ser>
          <c:idx val="11"/>
          <c:order val="11"/>
          <c:tx>
            <c:strRef>
              <c:f>ELC_Generation!$K$14</c:f>
              <c:strCache>
                <c:ptCount val="1"/>
                <c:pt idx="0">
                  <c:v>Other sources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ELC_Generation!$L$2:$AJ$2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ELC_Generation!$L$14:$AJ$14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2963</c:v>
                </c:pt>
                <c:pt idx="5">
                  <c:v>4994</c:v>
                </c:pt>
                <c:pt idx="6">
                  <c:v>329</c:v>
                </c:pt>
                <c:pt idx="7">
                  <c:v>324</c:v>
                </c:pt>
                <c:pt idx="8">
                  <c:v>307</c:v>
                </c:pt>
                <c:pt idx="9">
                  <c:v>341</c:v>
                </c:pt>
                <c:pt idx="10">
                  <c:v>159</c:v>
                </c:pt>
                <c:pt idx="11">
                  <c:v>171</c:v>
                </c:pt>
                <c:pt idx="12">
                  <c:v>175</c:v>
                </c:pt>
                <c:pt idx="13">
                  <c:v>0</c:v>
                </c:pt>
                <c:pt idx="14">
                  <c:v>0</c:v>
                </c:pt>
                <c:pt idx="15">
                  <c:v>216</c:v>
                </c:pt>
                <c:pt idx="16">
                  <c:v>108</c:v>
                </c:pt>
                <c:pt idx="17">
                  <c:v>91</c:v>
                </c:pt>
                <c:pt idx="18">
                  <c:v>94</c:v>
                </c:pt>
                <c:pt idx="19">
                  <c:v>139</c:v>
                </c:pt>
                <c:pt idx="20">
                  <c:v>160</c:v>
                </c:pt>
                <c:pt idx="21">
                  <c:v>280</c:v>
                </c:pt>
                <c:pt idx="22">
                  <c:v>282</c:v>
                </c:pt>
                <c:pt idx="23">
                  <c:v>273</c:v>
                </c:pt>
                <c:pt idx="24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69A-400D-A36A-50C90F222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335856"/>
        <c:axId val="110336336"/>
      </c:barChart>
      <c:catAx>
        <c:axId val="110335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6336"/>
        <c:crosses val="autoZero"/>
        <c:auto val="1"/>
        <c:lblAlgn val="ctr"/>
        <c:lblOffset val="100"/>
        <c:noMultiLvlLbl val="0"/>
      </c:catAx>
      <c:valAx>
        <c:axId val="1103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 Generation (GWh)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033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Import / Export</a:t>
            </a:r>
            <a:r>
              <a:rPr lang="it-IT" baseline="0"/>
              <a:t> of electricity, Spain, Source: </a:t>
            </a:r>
            <a:r>
              <a:rPr lang="it-IT" sz="1400" b="0" i="0" u="none" strike="noStrike" baseline="0">
                <a:hlinkClick xmlns:r="http://schemas.openxmlformats.org/officeDocument/2006/relationships" r:id=""/>
              </a:rPr>
              <a:t>Spain - Countries &amp; Regions - IEA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ImpExp!$I$3</c:f>
              <c:strCache>
                <c:ptCount val="1"/>
                <c:pt idx="0">
                  <c:v>Imports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ImpExp!$J$2:$AH$2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ImpExp!$J$3:$AH$3</c:f>
              <c:numCache>
                <c:formatCode>General</c:formatCode>
                <c:ptCount val="25"/>
                <c:pt idx="0">
                  <c:v>12268</c:v>
                </c:pt>
                <c:pt idx="1">
                  <c:v>10177</c:v>
                </c:pt>
                <c:pt idx="2">
                  <c:v>12504</c:v>
                </c:pt>
                <c:pt idx="3">
                  <c:v>9520</c:v>
                </c:pt>
                <c:pt idx="4">
                  <c:v>8111</c:v>
                </c:pt>
                <c:pt idx="5">
                  <c:v>10212</c:v>
                </c:pt>
                <c:pt idx="6">
                  <c:v>9093</c:v>
                </c:pt>
                <c:pt idx="7">
                  <c:v>8773</c:v>
                </c:pt>
                <c:pt idx="8">
                  <c:v>5881</c:v>
                </c:pt>
                <c:pt idx="9">
                  <c:v>6751</c:v>
                </c:pt>
                <c:pt idx="10">
                  <c:v>5206</c:v>
                </c:pt>
                <c:pt idx="11">
                  <c:v>7932</c:v>
                </c:pt>
                <c:pt idx="12">
                  <c:v>7787</c:v>
                </c:pt>
                <c:pt idx="13">
                  <c:v>9887</c:v>
                </c:pt>
                <c:pt idx="14">
                  <c:v>12310</c:v>
                </c:pt>
                <c:pt idx="15">
                  <c:v>14956</c:v>
                </c:pt>
                <c:pt idx="16">
                  <c:v>21845</c:v>
                </c:pt>
                <c:pt idx="17">
                  <c:v>23762</c:v>
                </c:pt>
                <c:pt idx="18">
                  <c:v>24018</c:v>
                </c:pt>
                <c:pt idx="19">
                  <c:v>18720</c:v>
                </c:pt>
                <c:pt idx="20">
                  <c:v>17928</c:v>
                </c:pt>
                <c:pt idx="21">
                  <c:v>17411</c:v>
                </c:pt>
                <c:pt idx="22">
                  <c:v>8031</c:v>
                </c:pt>
                <c:pt idx="23">
                  <c:v>11316</c:v>
                </c:pt>
                <c:pt idx="24">
                  <c:v>14354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97-4501-B585-6B15194FE56B}"/>
            </c:ext>
          </c:extLst>
        </c:ser>
        <c:ser>
          <c:idx val="1"/>
          <c:order val="1"/>
          <c:tx>
            <c:strRef>
              <c:f>ImpExp!$I$4</c:f>
              <c:strCache>
                <c:ptCount val="1"/>
                <c:pt idx="0">
                  <c:v>Exports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ImpExp!$J$2:$AH$2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ImpExp!$J$4:$AH$4</c:f>
              <c:numCache>
                <c:formatCode>General</c:formatCode>
                <c:ptCount val="25"/>
                <c:pt idx="0">
                  <c:v>-7827</c:v>
                </c:pt>
                <c:pt idx="1">
                  <c:v>-6727</c:v>
                </c:pt>
                <c:pt idx="2">
                  <c:v>-7175</c:v>
                </c:pt>
                <c:pt idx="3">
                  <c:v>-8257</c:v>
                </c:pt>
                <c:pt idx="4">
                  <c:v>-11139</c:v>
                </c:pt>
                <c:pt idx="5">
                  <c:v>-11555</c:v>
                </c:pt>
                <c:pt idx="6">
                  <c:v>-12373</c:v>
                </c:pt>
                <c:pt idx="7">
                  <c:v>-14524</c:v>
                </c:pt>
                <c:pt idx="8">
                  <c:v>-16920</c:v>
                </c:pt>
                <c:pt idx="9">
                  <c:v>-14855</c:v>
                </c:pt>
                <c:pt idx="10">
                  <c:v>-13539</c:v>
                </c:pt>
                <c:pt idx="11">
                  <c:v>-14023</c:v>
                </c:pt>
                <c:pt idx="12">
                  <c:v>-18986</c:v>
                </c:pt>
                <c:pt idx="13">
                  <c:v>-16638</c:v>
                </c:pt>
                <c:pt idx="14">
                  <c:v>-15716</c:v>
                </c:pt>
                <c:pt idx="15">
                  <c:v>-15089</c:v>
                </c:pt>
                <c:pt idx="16">
                  <c:v>-14178</c:v>
                </c:pt>
                <c:pt idx="17">
                  <c:v>-14593</c:v>
                </c:pt>
                <c:pt idx="18">
                  <c:v>-12916</c:v>
                </c:pt>
                <c:pt idx="19">
                  <c:v>-11858</c:v>
                </c:pt>
                <c:pt idx="20">
                  <c:v>-14648</c:v>
                </c:pt>
                <c:pt idx="21">
                  <c:v>-16558</c:v>
                </c:pt>
                <c:pt idx="22">
                  <c:v>-27833</c:v>
                </c:pt>
                <c:pt idx="23">
                  <c:v>-25272</c:v>
                </c:pt>
                <c:pt idx="24">
                  <c:v>-24581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081776"/>
        <c:axId val="157084656"/>
      </c:barChart>
      <c:lineChart>
        <c:grouping val="standard"/>
        <c:varyColors val="0"/>
        <c:ser>
          <c:idx val="2"/>
          <c:order val="2"/>
          <c:tx>
            <c:strRef>
              <c:f>ImpExp!$I$5</c:f>
              <c:strCache>
                <c:ptCount val="1"/>
                <c:pt idx="0">
                  <c:v>Net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ImpExp!$J$5:$AH$5</c:f>
              <c:numCache>
                <c:formatCode>General</c:formatCode>
                <c:ptCount val="25"/>
                <c:pt idx="0">
                  <c:v>4441</c:v>
                </c:pt>
                <c:pt idx="1">
                  <c:v>3450</c:v>
                </c:pt>
                <c:pt idx="2">
                  <c:v>5329</c:v>
                </c:pt>
                <c:pt idx="3">
                  <c:v>1263</c:v>
                </c:pt>
                <c:pt idx="4">
                  <c:v>-3028</c:v>
                </c:pt>
                <c:pt idx="5">
                  <c:v>-1343</c:v>
                </c:pt>
                <c:pt idx="6">
                  <c:v>-3280</c:v>
                </c:pt>
                <c:pt idx="7">
                  <c:v>-5751</c:v>
                </c:pt>
                <c:pt idx="8">
                  <c:v>-11039</c:v>
                </c:pt>
                <c:pt idx="9">
                  <c:v>-8104</c:v>
                </c:pt>
                <c:pt idx="10">
                  <c:v>-8333</c:v>
                </c:pt>
                <c:pt idx="11">
                  <c:v>-6091</c:v>
                </c:pt>
                <c:pt idx="12">
                  <c:v>-11199</c:v>
                </c:pt>
                <c:pt idx="13">
                  <c:v>-6751</c:v>
                </c:pt>
                <c:pt idx="14">
                  <c:v>-3406</c:v>
                </c:pt>
                <c:pt idx="15">
                  <c:v>-133</c:v>
                </c:pt>
                <c:pt idx="16">
                  <c:v>7667</c:v>
                </c:pt>
                <c:pt idx="17">
                  <c:v>9169</c:v>
                </c:pt>
                <c:pt idx="18">
                  <c:v>11102</c:v>
                </c:pt>
                <c:pt idx="19">
                  <c:v>6862</c:v>
                </c:pt>
                <c:pt idx="20">
                  <c:v>3280</c:v>
                </c:pt>
                <c:pt idx="21">
                  <c:v>853</c:v>
                </c:pt>
                <c:pt idx="22">
                  <c:v>-19802</c:v>
                </c:pt>
                <c:pt idx="23">
                  <c:v>-13956</c:v>
                </c:pt>
                <c:pt idx="24">
                  <c:v>-10227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97-4501-B585-6B15194FE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7081776"/>
        <c:axId val="157084656"/>
      </c:lineChart>
      <c:catAx>
        <c:axId val="157081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4656"/>
        <c:auto val="1"/>
        <c:lblAlgn val="ctr"/>
        <c:lblOffset val="100"/>
        <c:noMultiLvlLbl val="0"/>
      </c:catAx>
      <c:valAx>
        <c:axId val="15708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Electricity</a:t>
                </a:r>
                <a:r>
                  <a:rPr lang="it-IT" baseline="0"/>
                  <a:t> (GWh)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57081776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emissions</a:t>
            </a:r>
            <a:r>
              <a:rPr lang="it-IT" baseline="0"/>
              <a:t> from electricity generation, Spain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Emissions!$I$3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Emissions!$J$2:$AG$2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Emissions!$J$3:$AG$3</c:f>
              <c:numCache>
                <c:formatCode>0.00</c:formatCode>
                <c:ptCount val="24"/>
                <c:pt idx="0">
                  <c:v>75.856999999999999</c:v>
                </c:pt>
                <c:pt idx="1">
                  <c:v>67.123999999999995</c:v>
                </c:pt>
                <c:pt idx="2">
                  <c:v>76.909000000000006</c:v>
                </c:pt>
                <c:pt idx="3">
                  <c:v>70.673000000000002</c:v>
                </c:pt>
                <c:pt idx="4">
                  <c:v>73.147000000000006</c:v>
                </c:pt>
                <c:pt idx="5">
                  <c:v>73.171999999999997</c:v>
                </c:pt>
                <c:pt idx="6">
                  <c:v>62.594999999999999</c:v>
                </c:pt>
                <c:pt idx="7">
                  <c:v>71.436000000000007</c:v>
                </c:pt>
                <c:pt idx="8">
                  <c:v>46.113999999999997</c:v>
                </c:pt>
                <c:pt idx="9">
                  <c:v>35.026000000000003</c:v>
                </c:pt>
                <c:pt idx="10">
                  <c:v>25.3</c:v>
                </c:pt>
                <c:pt idx="11">
                  <c:v>44.177999999999997</c:v>
                </c:pt>
                <c:pt idx="12">
                  <c:v>53.131999999999998</c:v>
                </c:pt>
                <c:pt idx="13">
                  <c:v>38.640999999999998</c:v>
                </c:pt>
                <c:pt idx="14">
                  <c:v>42.912999999999997</c:v>
                </c:pt>
                <c:pt idx="15">
                  <c:v>49.125</c:v>
                </c:pt>
                <c:pt idx="16">
                  <c:v>35.423000000000002</c:v>
                </c:pt>
                <c:pt idx="17">
                  <c:v>44.04</c:v>
                </c:pt>
                <c:pt idx="18">
                  <c:v>36.701999999999998</c:v>
                </c:pt>
                <c:pt idx="19">
                  <c:v>14.217000000000001</c:v>
                </c:pt>
                <c:pt idx="20">
                  <c:v>6.4909999999999997</c:v>
                </c:pt>
                <c:pt idx="21">
                  <c:v>7.1749999999999998</c:v>
                </c:pt>
                <c:pt idx="22">
                  <c:v>8.9670000000000005</c:v>
                </c:pt>
                <c:pt idx="23">
                  <c:v>5.43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7-48E8-A9D9-C8A63590C873}"/>
            </c:ext>
          </c:extLst>
        </c:ser>
        <c:ser>
          <c:idx val="1"/>
          <c:order val="1"/>
          <c:tx>
            <c:strRef>
              <c:f>Emissions!$I$4</c:f>
              <c:strCache>
                <c:ptCount val="1"/>
                <c:pt idx="0">
                  <c:v>Oil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Emissions!$J$2:$AG$2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Emissions!$J$4:$AG$4</c:f>
              <c:numCache>
                <c:formatCode>0.00</c:formatCode>
                <c:ptCount val="24"/>
                <c:pt idx="0">
                  <c:v>14.377000000000001</c:v>
                </c:pt>
                <c:pt idx="1">
                  <c:v>16.364999999999998</c:v>
                </c:pt>
                <c:pt idx="2">
                  <c:v>18.884</c:v>
                </c:pt>
                <c:pt idx="3">
                  <c:v>15.645</c:v>
                </c:pt>
                <c:pt idx="4">
                  <c:v>15.881</c:v>
                </c:pt>
                <c:pt idx="5">
                  <c:v>17.149999999999999</c:v>
                </c:pt>
                <c:pt idx="6">
                  <c:v>14.491</c:v>
                </c:pt>
                <c:pt idx="7">
                  <c:v>13.48</c:v>
                </c:pt>
                <c:pt idx="8">
                  <c:v>12.941000000000001</c:v>
                </c:pt>
                <c:pt idx="9">
                  <c:v>12.904999999999999</c:v>
                </c:pt>
                <c:pt idx="10">
                  <c:v>11.218</c:v>
                </c:pt>
                <c:pt idx="11">
                  <c:v>10.52</c:v>
                </c:pt>
                <c:pt idx="12">
                  <c:v>10.917</c:v>
                </c:pt>
                <c:pt idx="13">
                  <c:v>9.4359999999999999</c:v>
                </c:pt>
                <c:pt idx="14">
                  <c:v>9.9710000000000001</c:v>
                </c:pt>
                <c:pt idx="15">
                  <c:v>11.891999999999999</c:v>
                </c:pt>
                <c:pt idx="16">
                  <c:v>11.385999999999999</c:v>
                </c:pt>
                <c:pt idx="17">
                  <c:v>10.512</c:v>
                </c:pt>
                <c:pt idx="18">
                  <c:v>9.5120000000000005</c:v>
                </c:pt>
                <c:pt idx="19">
                  <c:v>8.1780000000000008</c:v>
                </c:pt>
                <c:pt idx="20">
                  <c:v>6.718</c:v>
                </c:pt>
                <c:pt idx="21">
                  <c:v>6.3220000000000001</c:v>
                </c:pt>
                <c:pt idx="22">
                  <c:v>6.7210000000000001</c:v>
                </c:pt>
                <c:pt idx="23">
                  <c:v>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87-48E8-A9D9-C8A63590C873}"/>
            </c:ext>
          </c:extLst>
        </c:ser>
        <c:ser>
          <c:idx val="2"/>
          <c:order val="2"/>
          <c:tx>
            <c:strRef>
              <c:f>Emissions!$I$5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Emissions!$J$2:$AG$2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Emissions!$J$5:$AG$5</c:f>
              <c:numCache>
                <c:formatCode>0.00</c:formatCode>
                <c:ptCount val="24"/>
                <c:pt idx="0">
                  <c:v>6.3049999999999997</c:v>
                </c:pt>
                <c:pt idx="1">
                  <c:v>6.5990000000000002</c:v>
                </c:pt>
                <c:pt idx="2">
                  <c:v>10.571999999999999</c:v>
                </c:pt>
                <c:pt idx="3">
                  <c:v>12.510999999999999</c:v>
                </c:pt>
                <c:pt idx="4">
                  <c:v>18.088000000000001</c:v>
                </c:pt>
                <c:pt idx="5">
                  <c:v>25.361999999999998</c:v>
                </c:pt>
                <c:pt idx="6">
                  <c:v>32.406999999999996</c:v>
                </c:pt>
                <c:pt idx="7">
                  <c:v>32.332999999999998</c:v>
                </c:pt>
                <c:pt idx="8">
                  <c:v>42.374000000000002</c:v>
                </c:pt>
                <c:pt idx="9">
                  <c:v>38.268000000000001</c:v>
                </c:pt>
                <c:pt idx="10">
                  <c:v>34.341999999999999</c:v>
                </c:pt>
                <c:pt idx="11">
                  <c:v>30.934000000000001</c:v>
                </c:pt>
                <c:pt idx="12">
                  <c:v>26.295999999999999</c:v>
                </c:pt>
                <c:pt idx="13">
                  <c:v>20.146999999999998</c:v>
                </c:pt>
                <c:pt idx="14">
                  <c:v>16.512</c:v>
                </c:pt>
                <c:pt idx="15">
                  <c:v>19.401</c:v>
                </c:pt>
                <c:pt idx="16">
                  <c:v>19.056999999999999</c:v>
                </c:pt>
                <c:pt idx="17">
                  <c:v>23.382999999999999</c:v>
                </c:pt>
                <c:pt idx="18">
                  <c:v>21.161999999999999</c:v>
                </c:pt>
                <c:pt idx="19">
                  <c:v>30.029</c:v>
                </c:pt>
                <c:pt idx="20">
                  <c:v>25.106999999999999</c:v>
                </c:pt>
                <c:pt idx="21">
                  <c:v>25.800999999999998</c:v>
                </c:pt>
                <c:pt idx="22">
                  <c:v>32.043999999999997</c:v>
                </c:pt>
                <c:pt idx="23">
                  <c:v>24.222999999999999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87-48E8-A9D9-C8A63590C873}"/>
            </c:ext>
          </c:extLst>
        </c:ser>
        <c:ser>
          <c:idx val="3"/>
          <c:order val="3"/>
          <c:tx>
            <c:strRef>
              <c:f>Emissions!$I$6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Emissions!$J$2:$AG$2</c:f>
              <c:numCache>
                <c:formatCode>General</c:formatCod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numCache>
            </c:numRef>
          </c:cat>
          <c:val>
            <c:numRef>
              <c:f>Emissions!$J$6:$AG$6</c:f>
              <c:numCache>
                <c:formatCode>0.00</c:formatCode>
                <c:ptCount val="24"/>
                <c:pt idx="0">
                  <c:v>0.88800000000000001</c:v>
                </c:pt>
                <c:pt idx="1">
                  <c:v>0.53400000000000003</c:v>
                </c:pt>
                <c:pt idx="2">
                  <c:v>0.374</c:v>
                </c:pt>
                <c:pt idx="3">
                  <c:v>0.436</c:v>
                </c:pt>
                <c:pt idx="4">
                  <c:v>0.46899999999999997</c:v>
                </c:pt>
                <c:pt idx="5">
                  <c:v>0.72599999999999998</c:v>
                </c:pt>
                <c:pt idx="6">
                  <c:v>0.96699999999999997</c:v>
                </c:pt>
                <c:pt idx="7">
                  <c:v>1.1870000000000001</c:v>
                </c:pt>
                <c:pt idx="8">
                  <c:v>1.2589999999999999</c:v>
                </c:pt>
                <c:pt idx="9">
                  <c:v>1.2250000000000001</c:v>
                </c:pt>
                <c:pt idx="10">
                  <c:v>0.66800000000000004</c:v>
                </c:pt>
                <c:pt idx="11">
                  <c:v>0.748</c:v>
                </c:pt>
                <c:pt idx="12">
                  <c:v>0.67400000000000004</c:v>
                </c:pt>
                <c:pt idx="13">
                  <c:v>0.76600000000000001</c:v>
                </c:pt>
                <c:pt idx="14">
                  <c:v>0.78300000000000003</c:v>
                </c:pt>
                <c:pt idx="15">
                  <c:v>0.95799999999999996</c:v>
                </c:pt>
                <c:pt idx="16">
                  <c:v>0.88100000000000001</c:v>
                </c:pt>
                <c:pt idx="17">
                  <c:v>0.97</c:v>
                </c:pt>
                <c:pt idx="18">
                  <c:v>1.3839999999999999</c:v>
                </c:pt>
                <c:pt idx="19">
                  <c:v>1.3080000000000001</c:v>
                </c:pt>
                <c:pt idx="20">
                  <c:v>1.5760000000000001</c:v>
                </c:pt>
                <c:pt idx="21">
                  <c:v>1.323</c:v>
                </c:pt>
                <c:pt idx="22">
                  <c:v>1.3180000000000001</c:v>
                </c:pt>
                <c:pt idx="23">
                  <c:v>1.22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787-48E8-A9D9-C8A63590C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200288"/>
        <c:axId val="117201728"/>
      </c:barChart>
      <c:catAx>
        <c:axId val="117200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1728"/>
        <c:crosses val="autoZero"/>
        <c:auto val="1"/>
        <c:lblAlgn val="ctr"/>
        <c:lblOffset val="100"/>
        <c:noMultiLvlLbl val="0"/>
      </c:catAx>
      <c:valAx>
        <c:axId val="11720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</a:t>
                </a:r>
                <a:r>
                  <a:rPr lang="it-IT" baseline="0"/>
                  <a:t> emission (Mton)</a:t>
                </a:r>
                <a:endParaRPr lang="it-I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720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Electricity Consumption, Spain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ELC_Consumption!$F$7:$F$31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ELC_Consumption!$G$7:$G$31</c:f>
              <c:numCache>
                <c:formatCode>General</c:formatCode>
                <c:ptCount val="25"/>
                <c:pt idx="0">
                  <c:v>209.643</c:v>
                </c:pt>
                <c:pt idx="1">
                  <c:v>221.505</c:v>
                </c:pt>
                <c:pt idx="2">
                  <c:v>231.03299999999999</c:v>
                </c:pt>
                <c:pt idx="3">
                  <c:v>239.44200000000001</c:v>
                </c:pt>
                <c:pt idx="4">
                  <c:v>252.87700000000001</c:v>
                </c:pt>
                <c:pt idx="5">
                  <c:v>266.78100000000001</c:v>
                </c:pt>
                <c:pt idx="6">
                  <c:v>271.05500000000001</c:v>
                </c:pt>
                <c:pt idx="7">
                  <c:v>273.827</c:v>
                </c:pt>
                <c:pt idx="8">
                  <c:v>276.90899999999999</c:v>
                </c:pt>
                <c:pt idx="9">
                  <c:v>262.07100000000003</c:v>
                </c:pt>
                <c:pt idx="10">
                  <c:v>265.79399999999998</c:v>
                </c:pt>
                <c:pt idx="11">
                  <c:v>261.72899999999998</c:v>
                </c:pt>
                <c:pt idx="12">
                  <c:v>260.685</c:v>
                </c:pt>
                <c:pt idx="13">
                  <c:v>252.18600000000001</c:v>
                </c:pt>
                <c:pt idx="14">
                  <c:v>248.95</c:v>
                </c:pt>
                <c:pt idx="15">
                  <c:v>254.26900000000001</c:v>
                </c:pt>
                <c:pt idx="16">
                  <c:v>255.71899999999999</c:v>
                </c:pt>
                <c:pt idx="17">
                  <c:v>261.072</c:v>
                </c:pt>
                <c:pt idx="18">
                  <c:v>259.95800000000003</c:v>
                </c:pt>
                <c:pt idx="19">
                  <c:v>255.32900000000001</c:v>
                </c:pt>
                <c:pt idx="20">
                  <c:v>241.02199999999999</c:v>
                </c:pt>
                <c:pt idx="21">
                  <c:v>248.43600000000001</c:v>
                </c:pt>
                <c:pt idx="22">
                  <c:v>247.52099999999999</c:v>
                </c:pt>
                <c:pt idx="23">
                  <c:v>247.46</c:v>
                </c:pt>
                <c:pt idx="24">
                  <c:v>253.74799999999999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83-411A-833B-BB3F7FEA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79216"/>
        <c:axId val="118381136"/>
      </c:lineChart>
      <c:catAx>
        <c:axId val="11837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81136"/>
        <c:crosses val="autoZero"/>
        <c:auto val="1"/>
        <c:lblAlgn val="ctr"/>
        <c:lblOffset val="100"/>
        <c:noMultiLvlLbl val="0"/>
      </c:catAx>
      <c:valAx>
        <c:axId val="11838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Consumption (TWh)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837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1363980</xdr:colOff>
      <xdr:row>3</xdr:row>
      <xdr:rowOff>91440</xdr:rowOff>
    </xdr:from>
    <xdr:to>
      <xdr:col>17</xdr:col>
      <xdr:colOff>542925</xdr:colOff>
      <xdr:row>31</xdr:row>
      <xdr:rowOff>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C8FE79E-AC5B-8C9E-3FE8-338BD0F30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6</xdr:row>
      <xdr:rowOff>41910</xdr:rowOff>
    </xdr:from>
    <xdr:to>
      <xdr:col>15</xdr:col>
      <xdr:colOff>396240</xdr:colOff>
      <xdr:row>24</xdr:row>
      <xdr:rowOff>76200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1217BED-AE6B-8887-60A6-662C8B7225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236220</xdr:colOff>
      <xdr:row>8</xdr:row>
      <xdr:rowOff>60960</xdr:rowOff>
    </xdr:from>
    <xdr:to>
      <xdr:col>28</xdr:col>
      <xdr:colOff>137160</xdr:colOff>
      <xdr:row>33</xdr:row>
      <xdr:rowOff>160020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132B281-6A7E-4160-3779-8E0548A83B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449580</xdr:colOff>
      <xdr:row>11</xdr:row>
      <xdr:rowOff>22860</xdr:rowOff>
    </xdr:from>
    <xdr:to>
      <xdr:col>16</xdr:col>
      <xdr:colOff>144780</xdr:colOff>
      <xdr:row>28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CDC8690-6521-21AF-395C-FA924DE97D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iea.org/countries/spain/electricity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0DB51-B7D9-4ADC-AB31-B7E4C1F96502}">
  <dimension ref="A1:AJ301"/>
  <sheetViews>
    <sheetView zoomScale="80" zoomScaleNormal="80" workbookViewId="0">
      <selection activeCell="L2" sqref="L2:AJ2"/>
    </sheetView>
  </sheetViews>
  <sheetFormatPr defaultRowHeight="14.4" x14ac:dyDescent="0.3"/>
  <cols>
    <col min="1" max="1" width="31.6640625" bestFit="1" customWidth="1"/>
    <col min="11" max="11" width="12.33203125" bestFit="1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</row>
    <row r="2" spans="1:36" x14ac:dyDescent="0.3">
      <c r="A2" t="s">
        <v>4</v>
      </c>
      <c r="B2">
        <v>80858</v>
      </c>
      <c r="C2">
        <v>2000</v>
      </c>
      <c r="D2" t="s">
        <v>5</v>
      </c>
      <c r="F2" t="s">
        <v>17</v>
      </c>
      <c r="G2" s="2" t="s">
        <v>18</v>
      </c>
      <c r="L2">
        <v>2000</v>
      </c>
      <c r="M2">
        <v>2001</v>
      </c>
      <c r="N2">
        <v>2002</v>
      </c>
      <c r="O2">
        <v>2003</v>
      </c>
      <c r="P2">
        <v>2004</v>
      </c>
      <c r="Q2">
        <v>2005</v>
      </c>
      <c r="R2">
        <v>2006</v>
      </c>
      <c r="S2">
        <v>2007</v>
      </c>
      <c r="T2">
        <v>2008</v>
      </c>
      <c r="U2">
        <v>2009</v>
      </c>
      <c r="V2">
        <v>2010</v>
      </c>
      <c r="W2">
        <v>2011</v>
      </c>
      <c r="X2">
        <v>2012</v>
      </c>
      <c r="Y2">
        <v>2013</v>
      </c>
      <c r="Z2">
        <v>2014</v>
      </c>
      <c r="AA2">
        <v>2015</v>
      </c>
      <c r="AB2">
        <v>2016</v>
      </c>
      <c r="AC2">
        <v>2017</v>
      </c>
      <c r="AD2">
        <v>2018</v>
      </c>
      <c r="AE2">
        <v>2019</v>
      </c>
      <c r="AF2">
        <v>2020</v>
      </c>
      <c r="AG2">
        <v>2021</v>
      </c>
      <c r="AH2">
        <v>2022</v>
      </c>
      <c r="AI2">
        <v>2023</v>
      </c>
      <c r="AJ2">
        <v>2024</v>
      </c>
    </row>
    <row r="3" spans="1:36" x14ac:dyDescent="0.3">
      <c r="A3" t="s">
        <v>4</v>
      </c>
      <c r="B3">
        <v>71734</v>
      </c>
      <c r="C3">
        <v>2001</v>
      </c>
      <c r="D3" t="s">
        <v>5</v>
      </c>
      <c r="K3" s="1" t="s">
        <v>4</v>
      </c>
      <c r="L3">
        <f>SUMIFS($B:$B,$A:$A,$K3,$C:$C,L$2)</f>
        <v>80858</v>
      </c>
      <c r="M3">
        <f t="shared" ref="M3:AJ13" si="0">SUMIFS($B:$B,$A:$A,$K3,$C:$C,M$2)</f>
        <v>71734</v>
      </c>
      <c r="N3">
        <f t="shared" si="0"/>
        <v>82457</v>
      </c>
      <c r="O3">
        <f t="shared" si="0"/>
        <v>75955</v>
      </c>
      <c r="P3">
        <f t="shared" si="0"/>
        <v>80323</v>
      </c>
      <c r="Q3">
        <f t="shared" si="0"/>
        <v>80767</v>
      </c>
      <c r="R3">
        <f t="shared" si="0"/>
        <v>67978</v>
      </c>
      <c r="S3">
        <f t="shared" si="0"/>
        <v>74085</v>
      </c>
      <c r="T3">
        <f t="shared" si="0"/>
        <v>49973</v>
      </c>
      <c r="U3">
        <f t="shared" si="0"/>
        <v>36938</v>
      </c>
      <c r="V3">
        <f t="shared" si="0"/>
        <v>26323</v>
      </c>
      <c r="W3">
        <f t="shared" si="0"/>
        <v>45126</v>
      </c>
      <c r="X3">
        <f t="shared" si="0"/>
        <v>55991</v>
      </c>
      <c r="Y3">
        <f t="shared" si="0"/>
        <v>41332</v>
      </c>
      <c r="Z3">
        <f t="shared" si="0"/>
        <v>45295</v>
      </c>
      <c r="AA3">
        <f t="shared" si="0"/>
        <v>52676</v>
      </c>
      <c r="AB3">
        <f t="shared" si="0"/>
        <v>37453</v>
      </c>
      <c r="AC3">
        <f t="shared" si="0"/>
        <v>46349</v>
      </c>
      <c r="AD3">
        <f t="shared" si="0"/>
        <v>38716</v>
      </c>
      <c r="AE3">
        <f t="shared" si="0"/>
        <v>13982</v>
      </c>
      <c r="AF3">
        <f t="shared" si="0"/>
        <v>6149</v>
      </c>
      <c r="AG3">
        <f t="shared" si="0"/>
        <v>6014</v>
      </c>
      <c r="AH3">
        <f t="shared" si="0"/>
        <v>8696</v>
      </c>
      <c r="AI3">
        <f t="shared" si="0"/>
        <v>4450</v>
      </c>
      <c r="AJ3">
        <f t="shared" si="0"/>
        <v>3466</v>
      </c>
    </row>
    <row r="4" spans="1:36" x14ac:dyDescent="0.3">
      <c r="A4" t="s">
        <v>4</v>
      </c>
      <c r="B4">
        <v>82457</v>
      </c>
      <c r="C4">
        <v>2002</v>
      </c>
      <c r="D4" t="s">
        <v>5</v>
      </c>
      <c r="K4" s="1" t="s">
        <v>6</v>
      </c>
      <c r="L4">
        <f t="shared" ref="L4:AA20" si="1">SUMIFS($B:$B,$A:$A,$K4,$C:$C,L$2)</f>
        <v>22578</v>
      </c>
      <c r="M4">
        <f t="shared" si="0"/>
        <v>24632</v>
      </c>
      <c r="N4">
        <f t="shared" si="0"/>
        <v>28593</v>
      </c>
      <c r="O4">
        <f t="shared" si="0"/>
        <v>24002</v>
      </c>
      <c r="P4">
        <f t="shared" si="0"/>
        <v>23839</v>
      </c>
      <c r="Q4">
        <f t="shared" si="0"/>
        <v>24420</v>
      </c>
      <c r="R4">
        <f t="shared" si="0"/>
        <v>23829</v>
      </c>
      <c r="S4">
        <f t="shared" si="0"/>
        <v>18508</v>
      </c>
      <c r="T4">
        <f t="shared" si="0"/>
        <v>18002</v>
      </c>
      <c r="U4">
        <f t="shared" si="0"/>
        <v>19242</v>
      </c>
      <c r="V4">
        <f t="shared" si="0"/>
        <v>16562</v>
      </c>
      <c r="W4">
        <f t="shared" si="0"/>
        <v>14692</v>
      </c>
      <c r="X4">
        <f t="shared" si="0"/>
        <v>15321</v>
      </c>
      <c r="Y4">
        <f t="shared" si="0"/>
        <v>13763</v>
      </c>
      <c r="Z4">
        <f t="shared" si="0"/>
        <v>14121</v>
      </c>
      <c r="AA4">
        <f t="shared" si="0"/>
        <v>17241</v>
      </c>
      <c r="AB4">
        <f t="shared" si="0"/>
        <v>16921</v>
      </c>
      <c r="AC4">
        <f t="shared" si="0"/>
        <v>15766</v>
      </c>
      <c r="AD4">
        <f t="shared" si="0"/>
        <v>14498</v>
      </c>
      <c r="AE4">
        <f t="shared" si="0"/>
        <v>12883</v>
      </c>
      <c r="AF4">
        <f t="shared" si="0"/>
        <v>10704</v>
      </c>
      <c r="AG4">
        <f t="shared" si="0"/>
        <v>10044</v>
      </c>
      <c r="AH4">
        <f t="shared" si="0"/>
        <v>10590</v>
      </c>
      <c r="AI4">
        <f t="shared" si="0"/>
        <v>9288</v>
      </c>
      <c r="AJ4">
        <f t="shared" si="0"/>
        <v>9123</v>
      </c>
    </row>
    <row r="5" spans="1:36" x14ac:dyDescent="0.3">
      <c r="A5" t="s">
        <v>4</v>
      </c>
      <c r="B5">
        <v>75955</v>
      </c>
      <c r="C5">
        <v>2003</v>
      </c>
      <c r="D5" t="s">
        <v>5</v>
      </c>
      <c r="K5" s="1" t="s">
        <v>7</v>
      </c>
      <c r="L5">
        <f t="shared" si="1"/>
        <v>20178</v>
      </c>
      <c r="M5">
        <f t="shared" si="0"/>
        <v>23358</v>
      </c>
      <c r="N5">
        <f t="shared" si="0"/>
        <v>32386</v>
      </c>
      <c r="O5">
        <f t="shared" si="0"/>
        <v>39368</v>
      </c>
      <c r="P5">
        <f t="shared" si="0"/>
        <v>55460</v>
      </c>
      <c r="Q5">
        <f t="shared" si="0"/>
        <v>79011</v>
      </c>
      <c r="R5">
        <f t="shared" si="0"/>
        <v>90570</v>
      </c>
      <c r="S5">
        <f t="shared" si="0"/>
        <v>94799</v>
      </c>
      <c r="T5">
        <f t="shared" si="0"/>
        <v>120798</v>
      </c>
      <c r="U5">
        <f t="shared" si="0"/>
        <v>107746</v>
      </c>
      <c r="V5">
        <f t="shared" si="0"/>
        <v>94851</v>
      </c>
      <c r="W5">
        <f t="shared" si="0"/>
        <v>85508</v>
      </c>
      <c r="X5">
        <f t="shared" si="0"/>
        <v>73308</v>
      </c>
      <c r="Y5">
        <f t="shared" si="0"/>
        <v>57536</v>
      </c>
      <c r="Z5">
        <f t="shared" si="0"/>
        <v>47273</v>
      </c>
      <c r="AA5">
        <f t="shared" si="0"/>
        <v>52498</v>
      </c>
      <c r="AB5">
        <f t="shared" si="0"/>
        <v>52820</v>
      </c>
      <c r="AC5">
        <f t="shared" si="0"/>
        <v>64037</v>
      </c>
      <c r="AD5">
        <f t="shared" si="0"/>
        <v>58004</v>
      </c>
      <c r="AE5">
        <f t="shared" si="0"/>
        <v>83703</v>
      </c>
      <c r="AF5">
        <f t="shared" si="0"/>
        <v>69739</v>
      </c>
      <c r="AG5">
        <f t="shared" si="0"/>
        <v>71502</v>
      </c>
      <c r="AH5">
        <f t="shared" si="0"/>
        <v>85975</v>
      </c>
      <c r="AI5">
        <f t="shared" si="0"/>
        <v>64272</v>
      </c>
      <c r="AJ5">
        <f t="shared" si="0"/>
        <v>52329</v>
      </c>
    </row>
    <row r="6" spans="1:36" x14ac:dyDescent="0.3">
      <c r="A6" t="s">
        <v>4</v>
      </c>
      <c r="B6">
        <v>80323</v>
      </c>
      <c r="C6">
        <v>2004</v>
      </c>
      <c r="D6" t="s">
        <v>5</v>
      </c>
      <c r="K6" s="1" t="s">
        <v>8</v>
      </c>
      <c r="L6">
        <f t="shared" si="1"/>
        <v>62206</v>
      </c>
      <c r="M6">
        <f t="shared" si="0"/>
        <v>63708</v>
      </c>
      <c r="N6">
        <f t="shared" si="0"/>
        <v>63016</v>
      </c>
      <c r="O6">
        <f t="shared" si="0"/>
        <v>61875</v>
      </c>
      <c r="P6">
        <f t="shared" si="0"/>
        <v>63606</v>
      </c>
      <c r="Q6">
        <f t="shared" si="0"/>
        <v>57539</v>
      </c>
      <c r="R6">
        <f t="shared" si="0"/>
        <v>60126</v>
      </c>
      <c r="S6">
        <f t="shared" si="0"/>
        <v>55103</v>
      </c>
      <c r="T6">
        <f t="shared" si="0"/>
        <v>58973</v>
      </c>
      <c r="U6">
        <f t="shared" si="0"/>
        <v>52761</v>
      </c>
      <c r="V6">
        <f t="shared" si="0"/>
        <v>61990</v>
      </c>
      <c r="W6">
        <f t="shared" si="0"/>
        <v>57718</v>
      </c>
      <c r="X6">
        <f t="shared" si="0"/>
        <v>61470</v>
      </c>
      <c r="Y6">
        <f t="shared" si="0"/>
        <v>56726</v>
      </c>
      <c r="Z6">
        <f t="shared" si="0"/>
        <v>57305</v>
      </c>
      <c r="AA6">
        <f t="shared" si="0"/>
        <v>57196</v>
      </c>
      <c r="AB6">
        <f t="shared" si="0"/>
        <v>58633</v>
      </c>
      <c r="AC6">
        <f t="shared" si="0"/>
        <v>58039</v>
      </c>
      <c r="AD6">
        <f t="shared" si="0"/>
        <v>55766</v>
      </c>
      <c r="AE6">
        <f t="shared" si="0"/>
        <v>58349</v>
      </c>
      <c r="AF6">
        <f t="shared" si="0"/>
        <v>58299</v>
      </c>
      <c r="AG6">
        <f t="shared" si="0"/>
        <v>56564</v>
      </c>
      <c r="AH6">
        <f t="shared" si="0"/>
        <v>58590</v>
      </c>
      <c r="AI6">
        <f t="shared" si="0"/>
        <v>56873</v>
      </c>
      <c r="AJ6">
        <f t="shared" si="0"/>
        <v>54532</v>
      </c>
    </row>
    <row r="7" spans="1:36" x14ac:dyDescent="0.3">
      <c r="A7" t="s">
        <v>4</v>
      </c>
      <c r="B7">
        <v>80767</v>
      </c>
      <c r="C7">
        <v>2005</v>
      </c>
      <c r="D7" t="s">
        <v>5</v>
      </c>
      <c r="K7" s="1" t="s">
        <v>9</v>
      </c>
      <c r="L7">
        <f t="shared" si="1"/>
        <v>31807</v>
      </c>
      <c r="M7">
        <f t="shared" si="0"/>
        <v>43864</v>
      </c>
      <c r="N7">
        <f t="shared" si="0"/>
        <v>26270</v>
      </c>
      <c r="O7">
        <f t="shared" si="0"/>
        <v>43897</v>
      </c>
      <c r="P7">
        <f t="shared" si="0"/>
        <v>34439</v>
      </c>
      <c r="Q7">
        <f t="shared" si="0"/>
        <v>23025</v>
      </c>
      <c r="R7">
        <f t="shared" si="0"/>
        <v>29831</v>
      </c>
      <c r="S7">
        <f t="shared" si="0"/>
        <v>30522</v>
      </c>
      <c r="T7">
        <f t="shared" si="0"/>
        <v>26144</v>
      </c>
      <c r="U7">
        <f t="shared" si="0"/>
        <v>29162</v>
      </c>
      <c r="V7">
        <f t="shared" si="0"/>
        <v>45511</v>
      </c>
      <c r="W7">
        <f t="shared" si="0"/>
        <v>32911</v>
      </c>
      <c r="X7">
        <f t="shared" si="0"/>
        <v>24162</v>
      </c>
      <c r="Y7">
        <f t="shared" si="0"/>
        <v>41052</v>
      </c>
      <c r="Z7">
        <f t="shared" si="0"/>
        <v>42969</v>
      </c>
      <c r="AA7">
        <f t="shared" si="0"/>
        <v>31368</v>
      </c>
      <c r="AB7">
        <f t="shared" si="0"/>
        <v>39865</v>
      </c>
      <c r="AC7">
        <f t="shared" si="0"/>
        <v>21070</v>
      </c>
      <c r="AD7">
        <f t="shared" si="0"/>
        <v>36803</v>
      </c>
      <c r="AE7">
        <f t="shared" si="0"/>
        <v>26874</v>
      </c>
      <c r="AF7">
        <f t="shared" si="0"/>
        <v>33998</v>
      </c>
      <c r="AG7">
        <f t="shared" si="0"/>
        <v>32847</v>
      </c>
      <c r="AH7">
        <f t="shared" si="0"/>
        <v>22102</v>
      </c>
      <c r="AI7">
        <f t="shared" si="0"/>
        <v>31105</v>
      </c>
      <c r="AJ7">
        <f t="shared" si="0"/>
        <v>40821</v>
      </c>
    </row>
    <row r="8" spans="1:36" x14ac:dyDescent="0.3">
      <c r="A8" t="s">
        <v>4</v>
      </c>
      <c r="B8">
        <v>67978</v>
      </c>
      <c r="C8">
        <v>2006</v>
      </c>
      <c r="D8" t="s">
        <v>5</v>
      </c>
      <c r="K8" s="1" t="s">
        <v>10</v>
      </c>
      <c r="L8">
        <f t="shared" si="1"/>
        <v>0</v>
      </c>
      <c r="M8">
        <f t="shared" si="0"/>
        <v>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0</v>
      </c>
      <c r="R8">
        <f t="shared" si="0"/>
        <v>0</v>
      </c>
      <c r="S8">
        <f t="shared" si="0"/>
        <v>0</v>
      </c>
      <c r="T8">
        <f t="shared" si="0"/>
        <v>0</v>
      </c>
      <c r="U8">
        <f t="shared" si="0"/>
        <v>0</v>
      </c>
      <c r="V8">
        <f t="shared" si="0"/>
        <v>0</v>
      </c>
      <c r="W8">
        <f t="shared" si="0"/>
        <v>0</v>
      </c>
      <c r="X8">
        <f t="shared" si="0"/>
        <v>0</v>
      </c>
      <c r="Y8">
        <f t="shared" si="0"/>
        <v>0</v>
      </c>
      <c r="Z8">
        <f t="shared" si="0"/>
        <v>0</v>
      </c>
      <c r="AA8">
        <f t="shared" si="0"/>
        <v>0</v>
      </c>
      <c r="AB8">
        <f t="shared" si="0"/>
        <v>0</v>
      </c>
      <c r="AC8">
        <f t="shared" si="0"/>
        <v>0</v>
      </c>
      <c r="AD8">
        <f t="shared" si="0"/>
        <v>0</v>
      </c>
      <c r="AE8">
        <f t="shared" si="0"/>
        <v>20</v>
      </c>
      <c r="AF8">
        <f t="shared" si="0"/>
        <v>27</v>
      </c>
      <c r="AG8">
        <f t="shared" si="0"/>
        <v>19</v>
      </c>
      <c r="AH8">
        <f t="shared" si="0"/>
        <v>23</v>
      </c>
      <c r="AI8">
        <f t="shared" si="0"/>
        <v>12</v>
      </c>
      <c r="AJ8">
        <f t="shared" si="0"/>
        <v>8</v>
      </c>
    </row>
    <row r="9" spans="1:36" x14ac:dyDescent="0.3">
      <c r="A9" t="s">
        <v>4</v>
      </c>
      <c r="B9">
        <v>74085</v>
      </c>
      <c r="C9">
        <v>2007</v>
      </c>
      <c r="D9" t="s">
        <v>5</v>
      </c>
      <c r="K9" s="1" t="s">
        <v>11</v>
      </c>
      <c r="L9">
        <f t="shared" si="1"/>
        <v>1159</v>
      </c>
      <c r="M9">
        <f t="shared" si="0"/>
        <v>1297</v>
      </c>
      <c r="N9">
        <f t="shared" si="0"/>
        <v>2303</v>
      </c>
      <c r="O9">
        <f t="shared" si="0"/>
        <v>2853</v>
      </c>
      <c r="P9">
        <f t="shared" si="0"/>
        <v>3039</v>
      </c>
      <c r="Q9">
        <f t="shared" si="0"/>
        <v>2202</v>
      </c>
      <c r="R9">
        <f t="shared" si="0"/>
        <v>2173</v>
      </c>
      <c r="S9">
        <f t="shared" si="0"/>
        <v>2161</v>
      </c>
      <c r="T9">
        <f t="shared" si="0"/>
        <v>2473</v>
      </c>
      <c r="U9">
        <f t="shared" si="0"/>
        <v>2727</v>
      </c>
      <c r="V9">
        <f t="shared" si="0"/>
        <v>3356</v>
      </c>
      <c r="W9">
        <f t="shared" si="0"/>
        <v>3814</v>
      </c>
      <c r="X9">
        <f t="shared" si="0"/>
        <v>4262</v>
      </c>
      <c r="Y9">
        <f t="shared" si="0"/>
        <v>5116</v>
      </c>
      <c r="Z9">
        <f t="shared" si="0"/>
        <v>4728</v>
      </c>
      <c r="AA9">
        <f t="shared" si="0"/>
        <v>4996</v>
      </c>
      <c r="AB9">
        <f t="shared" si="0"/>
        <v>4954</v>
      </c>
      <c r="AC9">
        <f t="shared" si="0"/>
        <v>5306</v>
      </c>
      <c r="AD9">
        <f t="shared" si="0"/>
        <v>5156</v>
      </c>
      <c r="AE9">
        <f t="shared" si="0"/>
        <v>4802</v>
      </c>
      <c r="AF9">
        <f t="shared" si="0"/>
        <v>5435</v>
      </c>
      <c r="AG9">
        <f t="shared" si="0"/>
        <v>6088</v>
      </c>
      <c r="AH9">
        <f t="shared" si="0"/>
        <v>5935</v>
      </c>
      <c r="AI9">
        <f t="shared" si="0"/>
        <v>5062</v>
      </c>
      <c r="AJ9">
        <f t="shared" si="0"/>
        <v>5319</v>
      </c>
    </row>
    <row r="10" spans="1:36" x14ac:dyDescent="0.3">
      <c r="A10" t="s">
        <v>4</v>
      </c>
      <c r="B10">
        <v>49973</v>
      </c>
      <c r="C10">
        <v>2008</v>
      </c>
      <c r="D10" t="s">
        <v>5</v>
      </c>
      <c r="K10" s="1" t="s">
        <v>12</v>
      </c>
      <c r="L10">
        <f t="shared" si="1"/>
        <v>941</v>
      </c>
      <c r="M10">
        <f t="shared" si="0"/>
        <v>667</v>
      </c>
      <c r="N10">
        <f t="shared" si="0"/>
        <v>566</v>
      </c>
      <c r="O10">
        <f t="shared" si="0"/>
        <v>661</v>
      </c>
      <c r="P10">
        <f t="shared" si="0"/>
        <v>582</v>
      </c>
      <c r="Q10">
        <f t="shared" si="0"/>
        <v>902</v>
      </c>
      <c r="R10">
        <f t="shared" si="0"/>
        <v>1202</v>
      </c>
      <c r="S10">
        <f t="shared" si="0"/>
        <v>1474</v>
      </c>
      <c r="T10">
        <f t="shared" si="0"/>
        <v>1564</v>
      </c>
      <c r="U10">
        <f t="shared" si="0"/>
        <v>1522</v>
      </c>
      <c r="V10">
        <f t="shared" si="0"/>
        <v>1318</v>
      </c>
      <c r="W10">
        <f t="shared" si="0"/>
        <v>1590</v>
      </c>
      <c r="X10">
        <f t="shared" si="0"/>
        <v>1430</v>
      </c>
      <c r="Y10">
        <f t="shared" si="0"/>
        <v>1364</v>
      </c>
      <c r="Z10">
        <f t="shared" si="0"/>
        <v>1372</v>
      </c>
      <c r="AA10">
        <f t="shared" si="0"/>
        <v>1536</v>
      </c>
      <c r="AB10">
        <f t="shared" si="0"/>
        <v>1470</v>
      </c>
      <c r="AC10">
        <f t="shared" si="0"/>
        <v>1544</v>
      </c>
      <c r="AD10">
        <f t="shared" si="0"/>
        <v>1775</v>
      </c>
      <c r="AE10">
        <f t="shared" si="0"/>
        <v>1755</v>
      </c>
      <c r="AF10">
        <f t="shared" si="0"/>
        <v>1751</v>
      </c>
      <c r="AG10">
        <f t="shared" si="0"/>
        <v>1795</v>
      </c>
      <c r="AH10">
        <f t="shared" si="0"/>
        <v>1754</v>
      </c>
      <c r="AI10">
        <f t="shared" si="0"/>
        <v>1683</v>
      </c>
      <c r="AJ10">
        <f t="shared" si="0"/>
        <v>1686</v>
      </c>
    </row>
    <row r="11" spans="1:36" x14ac:dyDescent="0.3">
      <c r="A11" t="s">
        <v>4</v>
      </c>
      <c r="B11">
        <v>36938</v>
      </c>
      <c r="C11">
        <v>2009</v>
      </c>
      <c r="D11" t="s">
        <v>5</v>
      </c>
      <c r="K11" s="1" t="s">
        <v>13</v>
      </c>
      <c r="L11">
        <f t="shared" si="1"/>
        <v>4727</v>
      </c>
      <c r="M11">
        <f t="shared" si="0"/>
        <v>6759</v>
      </c>
      <c r="N11">
        <f t="shared" si="0"/>
        <v>9342</v>
      </c>
      <c r="O11">
        <f t="shared" si="0"/>
        <v>12075</v>
      </c>
      <c r="P11">
        <f t="shared" si="0"/>
        <v>15700</v>
      </c>
      <c r="Q11">
        <f t="shared" si="0"/>
        <v>21176</v>
      </c>
      <c r="R11">
        <f t="shared" si="0"/>
        <v>23297</v>
      </c>
      <c r="S11">
        <f t="shared" si="0"/>
        <v>27568</v>
      </c>
      <c r="T11">
        <f t="shared" si="0"/>
        <v>32946</v>
      </c>
      <c r="U11">
        <f t="shared" si="0"/>
        <v>38117</v>
      </c>
      <c r="V11">
        <f t="shared" si="0"/>
        <v>44271</v>
      </c>
      <c r="W11">
        <f t="shared" si="0"/>
        <v>42918</v>
      </c>
      <c r="X11">
        <f t="shared" si="0"/>
        <v>49472</v>
      </c>
      <c r="Y11">
        <f t="shared" si="0"/>
        <v>55646</v>
      </c>
      <c r="Z11">
        <f t="shared" si="0"/>
        <v>52013</v>
      </c>
      <c r="AA11">
        <f t="shared" si="0"/>
        <v>49325</v>
      </c>
      <c r="AB11">
        <f t="shared" si="0"/>
        <v>48905</v>
      </c>
      <c r="AC11">
        <f t="shared" si="0"/>
        <v>49127</v>
      </c>
      <c r="AD11">
        <f t="shared" si="0"/>
        <v>50896</v>
      </c>
      <c r="AE11">
        <f t="shared" si="0"/>
        <v>55647</v>
      </c>
      <c r="AF11">
        <f t="shared" si="0"/>
        <v>56444</v>
      </c>
      <c r="AG11">
        <f t="shared" si="0"/>
        <v>62061</v>
      </c>
      <c r="AH11">
        <f t="shared" si="0"/>
        <v>62784</v>
      </c>
      <c r="AI11">
        <f t="shared" si="0"/>
        <v>64275</v>
      </c>
      <c r="AJ11">
        <f t="shared" si="0"/>
        <v>62089</v>
      </c>
    </row>
    <row r="12" spans="1:36" x14ac:dyDescent="0.3">
      <c r="A12" t="s">
        <v>4</v>
      </c>
      <c r="B12">
        <v>26323</v>
      </c>
      <c r="C12">
        <v>2010</v>
      </c>
      <c r="D12" t="s">
        <v>5</v>
      </c>
      <c r="K12" s="1" t="s">
        <v>14</v>
      </c>
      <c r="L12">
        <f t="shared" si="1"/>
        <v>14</v>
      </c>
      <c r="M12">
        <f t="shared" si="0"/>
        <v>17</v>
      </c>
      <c r="N12">
        <f t="shared" si="0"/>
        <v>18</v>
      </c>
      <c r="O12">
        <f t="shared" si="0"/>
        <v>20</v>
      </c>
      <c r="P12">
        <f t="shared" si="0"/>
        <v>23</v>
      </c>
      <c r="Q12">
        <f t="shared" si="0"/>
        <v>47</v>
      </c>
      <c r="R12">
        <f t="shared" si="0"/>
        <v>124</v>
      </c>
      <c r="S12">
        <f t="shared" si="0"/>
        <v>507</v>
      </c>
      <c r="T12">
        <f t="shared" si="0"/>
        <v>2562</v>
      </c>
      <c r="U12">
        <f t="shared" si="0"/>
        <v>5961</v>
      </c>
      <c r="V12">
        <f t="shared" si="0"/>
        <v>6425</v>
      </c>
      <c r="W12">
        <f t="shared" si="0"/>
        <v>7440</v>
      </c>
      <c r="X12">
        <f t="shared" si="0"/>
        <v>8192</v>
      </c>
      <c r="Y12">
        <f t="shared" si="0"/>
        <v>8326</v>
      </c>
      <c r="Z12">
        <f t="shared" si="0"/>
        <v>8217</v>
      </c>
      <c r="AA12">
        <f t="shared" si="0"/>
        <v>8266</v>
      </c>
      <c r="AB12">
        <f t="shared" si="0"/>
        <v>8063</v>
      </c>
      <c r="AC12">
        <f t="shared" si="0"/>
        <v>8514</v>
      </c>
      <c r="AD12">
        <f t="shared" si="0"/>
        <v>7877</v>
      </c>
      <c r="AE12">
        <f t="shared" si="0"/>
        <v>9420</v>
      </c>
      <c r="AF12">
        <f t="shared" si="0"/>
        <v>15675</v>
      </c>
      <c r="AG12">
        <f t="shared" si="0"/>
        <v>21922</v>
      </c>
      <c r="AH12">
        <f t="shared" si="0"/>
        <v>31187</v>
      </c>
      <c r="AI12">
        <f t="shared" si="0"/>
        <v>43421</v>
      </c>
      <c r="AJ12">
        <f t="shared" si="0"/>
        <v>53752</v>
      </c>
    </row>
    <row r="13" spans="1:36" x14ac:dyDescent="0.3">
      <c r="A13" t="s">
        <v>4</v>
      </c>
      <c r="B13">
        <v>45126</v>
      </c>
      <c r="C13">
        <v>2011</v>
      </c>
      <c r="D13" t="s">
        <v>5</v>
      </c>
      <c r="K13" s="1" t="s">
        <v>15</v>
      </c>
      <c r="L13">
        <f t="shared" si="1"/>
        <v>0</v>
      </c>
      <c r="M13">
        <f t="shared" si="0"/>
        <v>0</v>
      </c>
      <c r="N13">
        <f t="shared" si="0"/>
        <v>0</v>
      </c>
      <c r="O13">
        <f t="shared" si="0"/>
        <v>0</v>
      </c>
      <c r="P13">
        <f t="shared" si="0"/>
        <v>0</v>
      </c>
      <c r="Q13">
        <f t="shared" si="0"/>
        <v>0</v>
      </c>
      <c r="R13">
        <f t="shared" si="0"/>
        <v>0</v>
      </c>
      <c r="S13">
        <f t="shared" si="0"/>
        <v>8</v>
      </c>
      <c r="T13">
        <f t="shared" si="0"/>
        <v>16</v>
      </c>
      <c r="U13">
        <f t="shared" si="0"/>
        <v>103</v>
      </c>
      <c r="V13">
        <f t="shared" si="0"/>
        <v>761</v>
      </c>
      <c r="W13">
        <f t="shared" si="0"/>
        <v>1959</v>
      </c>
      <c r="X13">
        <f t="shared" si="0"/>
        <v>3775</v>
      </c>
      <c r="Y13">
        <f t="shared" si="0"/>
        <v>4769</v>
      </c>
      <c r="Z13">
        <f t="shared" si="0"/>
        <v>5454</v>
      </c>
      <c r="AA13">
        <f t="shared" si="0"/>
        <v>5593</v>
      </c>
      <c r="AB13">
        <f t="shared" ref="AB13:AJ20" si="2">SUMIFS($B:$B,$A:$A,$K13,$C:$C,AB$2)</f>
        <v>5579</v>
      </c>
      <c r="AC13">
        <f t="shared" si="2"/>
        <v>5883</v>
      </c>
      <c r="AD13">
        <f t="shared" si="2"/>
        <v>4867</v>
      </c>
      <c r="AE13">
        <f t="shared" si="2"/>
        <v>5683</v>
      </c>
      <c r="AF13">
        <f t="shared" si="2"/>
        <v>4992</v>
      </c>
      <c r="AG13">
        <f t="shared" si="2"/>
        <v>5176</v>
      </c>
      <c r="AH13">
        <f t="shared" si="2"/>
        <v>4536</v>
      </c>
      <c r="AI13">
        <f t="shared" si="2"/>
        <v>5165</v>
      </c>
      <c r="AJ13">
        <f t="shared" si="2"/>
        <v>4540</v>
      </c>
    </row>
    <row r="14" spans="1:36" x14ac:dyDescent="0.3">
      <c r="A14" t="s">
        <v>4</v>
      </c>
      <c r="B14">
        <v>55991</v>
      </c>
      <c r="C14">
        <v>2012</v>
      </c>
      <c r="D14" t="s">
        <v>5</v>
      </c>
      <c r="K14" s="1" t="s">
        <v>16</v>
      </c>
      <c r="L14">
        <f t="shared" si="1"/>
        <v>0</v>
      </c>
      <c r="M14">
        <f t="shared" si="1"/>
        <v>0</v>
      </c>
      <c r="N14">
        <f t="shared" si="1"/>
        <v>0</v>
      </c>
      <c r="O14">
        <f t="shared" si="1"/>
        <v>0</v>
      </c>
      <c r="P14">
        <f t="shared" si="1"/>
        <v>2963</v>
      </c>
      <c r="Q14">
        <f t="shared" si="1"/>
        <v>4994</v>
      </c>
      <c r="R14">
        <f t="shared" si="1"/>
        <v>329</v>
      </c>
      <c r="S14">
        <f t="shared" si="1"/>
        <v>324</v>
      </c>
      <c r="T14">
        <f t="shared" si="1"/>
        <v>307</v>
      </c>
      <c r="U14">
        <f t="shared" si="1"/>
        <v>341</v>
      </c>
      <c r="V14">
        <f t="shared" si="1"/>
        <v>159</v>
      </c>
      <c r="W14">
        <f t="shared" si="1"/>
        <v>171</v>
      </c>
      <c r="X14">
        <f t="shared" si="1"/>
        <v>175</v>
      </c>
      <c r="Y14">
        <f t="shared" si="1"/>
        <v>0</v>
      </c>
      <c r="Z14">
        <f t="shared" si="1"/>
        <v>0</v>
      </c>
      <c r="AA14">
        <f t="shared" si="1"/>
        <v>216</v>
      </c>
      <c r="AB14">
        <f t="shared" si="2"/>
        <v>108</v>
      </c>
      <c r="AC14">
        <f t="shared" si="2"/>
        <v>91</v>
      </c>
      <c r="AD14">
        <f t="shared" si="2"/>
        <v>94</v>
      </c>
      <c r="AE14">
        <f t="shared" si="2"/>
        <v>139</v>
      </c>
      <c r="AF14">
        <f t="shared" si="2"/>
        <v>160</v>
      </c>
      <c r="AG14">
        <f t="shared" si="2"/>
        <v>280</v>
      </c>
      <c r="AH14">
        <f t="shared" si="2"/>
        <v>282</v>
      </c>
      <c r="AI14">
        <f t="shared" si="2"/>
        <v>273</v>
      </c>
      <c r="AJ14">
        <f t="shared" si="2"/>
        <v>244</v>
      </c>
    </row>
    <row r="15" spans="1:36" x14ac:dyDescent="0.3">
      <c r="A15" t="s">
        <v>4</v>
      </c>
      <c r="B15">
        <v>41332</v>
      </c>
      <c r="C15">
        <v>2013</v>
      </c>
      <c r="D15" t="s">
        <v>5</v>
      </c>
    </row>
    <row r="16" spans="1:36" x14ac:dyDescent="0.3">
      <c r="A16" t="s">
        <v>4</v>
      </c>
      <c r="B16">
        <v>45295</v>
      </c>
      <c r="C16">
        <v>2014</v>
      </c>
      <c r="D16" t="s">
        <v>5</v>
      </c>
    </row>
    <row r="17" spans="1:4" x14ac:dyDescent="0.3">
      <c r="A17" t="s">
        <v>4</v>
      </c>
      <c r="B17">
        <v>52676</v>
      </c>
      <c r="C17">
        <v>2015</v>
      </c>
      <c r="D17" t="s">
        <v>5</v>
      </c>
    </row>
    <row r="18" spans="1:4" x14ac:dyDescent="0.3">
      <c r="A18" t="s">
        <v>4</v>
      </c>
      <c r="B18">
        <v>37453</v>
      </c>
      <c r="C18">
        <v>2016</v>
      </c>
      <c r="D18" t="s">
        <v>5</v>
      </c>
    </row>
    <row r="19" spans="1:4" x14ac:dyDescent="0.3">
      <c r="A19" t="s">
        <v>4</v>
      </c>
      <c r="B19">
        <v>46349</v>
      </c>
      <c r="C19">
        <v>2017</v>
      </c>
      <c r="D19" t="s">
        <v>5</v>
      </c>
    </row>
    <row r="20" spans="1:4" x14ac:dyDescent="0.3">
      <c r="A20" t="s">
        <v>4</v>
      </c>
      <c r="B20">
        <v>38716</v>
      </c>
      <c r="C20">
        <v>2018</v>
      </c>
      <c r="D20" t="s">
        <v>5</v>
      </c>
    </row>
    <row r="21" spans="1:4" x14ac:dyDescent="0.3">
      <c r="A21" t="s">
        <v>4</v>
      </c>
      <c r="B21">
        <v>13982</v>
      </c>
      <c r="C21">
        <v>2019</v>
      </c>
      <c r="D21" t="s">
        <v>5</v>
      </c>
    </row>
    <row r="22" spans="1:4" x14ac:dyDescent="0.3">
      <c r="A22" t="s">
        <v>4</v>
      </c>
      <c r="B22">
        <v>6149</v>
      </c>
      <c r="C22">
        <v>2020</v>
      </c>
      <c r="D22" t="s">
        <v>5</v>
      </c>
    </row>
    <row r="23" spans="1:4" x14ac:dyDescent="0.3">
      <c r="A23" t="s">
        <v>4</v>
      </c>
      <c r="B23">
        <v>6014</v>
      </c>
      <c r="C23">
        <v>2021</v>
      </c>
      <c r="D23" t="s">
        <v>5</v>
      </c>
    </row>
    <row r="24" spans="1:4" x14ac:dyDescent="0.3">
      <c r="A24" t="s">
        <v>4</v>
      </c>
      <c r="B24">
        <v>8696</v>
      </c>
      <c r="C24">
        <v>2022</v>
      </c>
      <c r="D24" t="s">
        <v>5</v>
      </c>
    </row>
    <row r="25" spans="1:4" x14ac:dyDescent="0.3">
      <c r="A25" t="s">
        <v>4</v>
      </c>
      <c r="B25">
        <v>4450</v>
      </c>
      <c r="C25">
        <v>2023</v>
      </c>
      <c r="D25" t="s">
        <v>5</v>
      </c>
    </row>
    <row r="26" spans="1:4" x14ac:dyDescent="0.3">
      <c r="A26" t="s">
        <v>4</v>
      </c>
      <c r="B26">
        <v>3466</v>
      </c>
      <c r="C26">
        <v>2024</v>
      </c>
      <c r="D26" t="s">
        <v>5</v>
      </c>
    </row>
    <row r="27" spans="1:4" x14ac:dyDescent="0.3">
      <c r="A27" t="s">
        <v>6</v>
      </c>
      <c r="B27">
        <v>22578</v>
      </c>
      <c r="C27">
        <v>2000</v>
      </c>
      <c r="D27" t="s">
        <v>5</v>
      </c>
    </row>
    <row r="28" spans="1:4" x14ac:dyDescent="0.3">
      <c r="A28" t="s">
        <v>6</v>
      </c>
      <c r="B28">
        <v>24632</v>
      </c>
      <c r="C28">
        <v>2001</v>
      </c>
      <c r="D28" t="s">
        <v>5</v>
      </c>
    </row>
    <row r="29" spans="1:4" x14ac:dyDescent="0.3">
      <c r="A29" t="s">
        <v>6</v>
      </c>
      <c r="B29">
        <v>28593</v>
      </c>
      <c r="C29">
        <v>2002</v>
      </c>
      <c r="D29" t="s">
        <v>5</v>
      </c>
    </row>
    <row r="30" spans="1:4" x14ac:dyDescent="0.3">
      <c r="A30" t="s">
        <v>6</v>
      </c>
      <c r="B30">
        <v>24002</v>
      </c>
      <c r="C30">
        <v>2003</v>
      </c>
      <c r="D30" t="s">
        <v>5</v>
      </c>
    </row>
    <row r="31" spans="1:4" x14ac:dyDescent="0.3">
      <c r="A31" t="s">
        <v>6</v>
      </c>
      <c r="B31">
        <v>23839</v>
      </c>
      <c r="C31">
        <v>2004</v>
      </c>
      <c r="D31" t="s">
        <v>5</v>
      </c>
    </row>
    <row r="32" spans="1:4" x14ac:dyDescent="0.3">
      <c r="A32" t="s">
        <v>6</v>
      </c>
      <c r="B32">
        <v>24420</v>
      </c>
      <c r="C32">
        <v>2005</v>
      </c>
      <c r="D32" t="s">
        <v>5</v>
      </c>
    </row>
    <row r="33" spans="1:4" x14ac:dyDescent="0.3">
      <c r="A33" t="s">
        <v>6</v>
      </c>
      <c r="B33">
        <v>23829</v>
      </c>
      <c r="C33">
        <v>2006</v>
      </c>
      <c r="D33" t="s">
        <v>5</v>
      </c>
    </row>
    <row r="34" spans="1:4" x14ac:dyDescent="0.3">
      <c r="A34" t="s">
        <v>6</v>
      </c>
      <c r="B34">
        <v>18508</v>
      </c>
      <c r="C34">
        <v>2007</v>
      </c>
      <c r="D34" t="s">
        <v>5</v>
      </c>
    </row>
    <row r="35" spans="1:4" x14ac:dyDescent="0.3">
      <c r="A35" t="s">
        <v>6</v>
      </c>
      <c r="B35">
        <v>18002</v>
      </c>
      <c r="C35">
        <v>2008</v>
      </c>
      <c r="D35" t="s">
        <v>5</v>
      </c>
    </row>
    <row r="36" spans="1:4" x14ac:dyDescent="0.3">
      <c r="A36" t="s">
        <v>6</v>
      </c>
      <c r="B36">
        <v>19242</v>
      </c>
      <c r="C36">
        <v>2009</v>
      </c>
      <c r="D36" t="s">
        <v>5</v>
      </c>
    </row>
    <row r="37" spans="1:4" x14ac:dyDescent="0.3">
      <c r="A37" t="s">
        <v>6</v>
      </c>
      <c r="B37">
        <v>16562</v>
      </c>
      <c r="C37">
        <v>2010</v>
      </c>
      <c r="D37" t="s">
        <v>5</v>
      </c>
    </row>
    <row r="38" spans="1:4" x14ac:dyDescent="0.3">
      <c r="A38" t="s">
        <v>6</v>
      </c>
      <c r="B38">
        <v>14692</v>
      </c>
      <c r="C38">
        <v>2011</v>
      </c>
      <c r="D38" t="s">
        <v>5</v>
      </c>
    </row>
    <row r="39" spans="1:4" x14ac:dyDescent="0.3">
      <c r="A39" t="s">
        <v>6</v>
      </c>
      <c r="B39">
        <v>15321</v>
      </c>
      <c r="C39">
        <v>2012</v>
      </c>
      <c r="D39" t="s">
        <v>5</v>
      </c>
    </row>
    <row r="40" spans="1:4" x14ac:dyDescent="0.3">
      <c r="A40" t="s">
        <v>6</v>
      </c>
      <c r="B40">
        <v>13763</v>
      </c>
      <c r="C40">
        <v>2013</v>
      </c>
      <c r="D40" t="s">
        <v>5</v>
      </c>
    </row>
    <row r="41" spans="1:4" x14ac:dyDescent="0.3">
      <c r="A41" t="s">
        <v>6</v>
      </c>
      <c r="B41">
        <v>14121</v>
      </c>
      <c r="C41">
        <v>2014</v>
      </c>
      <c r="D41" t="s">
        <v>5</v>
      </c>
    </row>
    <row r="42" spans="1:4" x14ac:dyDescent="0.3">
      <c r="A42" t="s">
        <v>6</v>
      </c>
      <c r="B42">
        <v>17241</v>
      </c>
      <c r="C42">
        <v>2015</v>
      </c>
      <c r="D42" t="s">
        <v>5</v>
      </c>
    </row>
    <row r="43" spans="1:4" x14ac:dyDescent="0.3">
      <c r="A43" t="s">
        <v>6</v>
      </c>
      <c r="B43">
        <v>16921</v>
      </c>
      <c r="C43">
        <v>2016</v>
      </c>
      <c r="D43" t="s">
        <v>5</v>
      </c>
    </row>
    <row r="44" spans="1:4" x14ac:dyDescent="0.3">
      <c r="A44" t="s">
        <v>6</v>
      </c>
      <c r="B44">
        <v>15766</v>
      </c>
      <c r="C44">
        <v>2017</v>
      </c>
      <c r="D44" t="s">
        <v>5</v>
      </c>
    </row>
    <row r="45" spans="1:4" x14ac:dyDescent="0.3">
      <c r="A45" t="s">
        <v>6</v>
      </c>
      <c r="B45">
        <v>14498</v>
      </c>
      <c r="C45">
        <v>2018</v>
      </c>
      <c r="D45" t="s">
        <v>5</v>
      </c>
    </row>
    <row r="46" spans="1:4" x14ac:dyDescent="0.3">
      <c r="A46" t="s">
        <v>6</v>
      </c>
      <c r="B46">
        <v>12883</v>
      </c>
      <c r="C46">
        <v>2019</v>
      </c>
      <c r="D46" t="s">
        <v>5</v>
      </c>
    </row>
    <row r="47" spans="1:4" x14ac:dyDescent="0.3">
      <c r="A47" t="s">
        <v>6</v>
      </c>
      <c r="B47">
        <v>10704</v>
      </c>
      <c r="C47">
        <v>2020</v>
      </c>
      <c r="D47" t="s">
        <v>5</v>
      </c>
    </row>
    <row r="48" spans="1:4" x14ac:dyDescent="0.3">
      <c r="A48" t="s">
        <v>6</v>
      </c>
      <c r="B48">
        <v>10044</v>
      </c>
      <c r="C48">
        <v>2021</v>
      </c>
      <c r="D48" t="s">
        <v>5</v>
      </c>
    </row>
    <row r="49" spans="1:4" x14ac:dyDescent="0.3">
      <c r="A49" t="s">
        <v>6</v>
      </c>
      <c r="B49">
        <v>10590</v>
      </c>
      <c r="C49">
        <v>2022</v>
      </c>
      <c r="D49" t="s">
        <v>5</v>
      </c>
    </row>
    <row r="50" spans="1:4" x14ac:dyDescent="0.3">
      <c r="A50" t="s">
        <v>6</v>
      </c>
      <c r="B50">
        <v>9288</v>
      </c>
      <c r="C50">
        <v>2023</v>
      </c>
      <c r="D50" t="s">
        <v>5</v>
      </c>
    </row>
    <row r="51" spans="1:4" x14ac:dyDescent="0.3">
      <c r="A51" t="s">
        <v>6</v>
      </c>
      <c r="B51">
        <v>9123</v>
      </c>
      <c r="C51">
        <v>2024</v>
      </c>
      <c r="D51" t="s">
        <v>5</v>
      </c>
    </row>
    <row r="52" spans="1:4" x14ac:dyDescent="0.3">
      <c r="A52" t="s">
        <v>7</v>
      </c>
      <c r="B52">
        <v>20178</v>
      </c>
      <c r="C52">
        <v>2000</v>
      </c>
      <c r="D52" t="s">
        <v>5</v>
      </c>
    </row>
    <row r="53" spans="1:4" x14ac:dyDescent="0.3">
      <c r="A53" t="s">
        <v>7</v>
      </c>
      <c r="B53">
        <v>23358</v>
      </c>
      <c r="C53">
        <v>2001</v>
      </c>
      <c r="D53" t="s">
        <v>5</v>
      </c>
    </row>
    <row r="54" spans="1:4" x14ac:dyDescent="0.3">
      <c r="A54" t="s">
        <v>7</v>
      </c>
      <c r="B54">
        <v>32386</v>
      </c>
      <c r="C54">
        <v>2002</v>
      </c>
      <c r="D54" t="s">
        <v>5</v>
      </c>
    </row>
    <row r="55" spans="1:4" x14ac:dyDescent="0.3">
      <c r="A55" t="s">
        <v>7</v>
      </c>
      <c r="B55">
        <v>39368</v>
      </c>
      <c r="C55">
        <v>2003</v>
      </c>
      <c r="D55" t="s">
        <v>5</v>
      </c>
    </row>
    <row r="56" spans="1:4" x14ac:dyDescent="0.3">
      <c r="A56" t="s">
        <v>7</v>
      </c>
      <c r="B56">
        <v>55460</v>
      </c>
      <c r="C56">
        <v>2004</v>
      </c>
      <c r="D56" t="s">
        <v>5</v>
      </c>
    </row>
    <row r="57" spans="1:4" x14ac:dyDescent="0.3">
      <c r="A57" t="s">
        <v>7</v>
      </c>
      <c r="B57">
        <v>79011</v>
      </c>
      <c r="C57">
        <v>2005</v>
      </c>
      <c r="D57" t="s">
        <v>5</v>
      </c>
    </row>
    <row r="58" spans="1:4" x14ac:dyDescent="0.3">
      <c r="A58" t="s">
        <v>7</v>
      </c>
      <c r="B58">
        <v>90570</v>
      </c>
      <c r="C58">
        <v>2006</v>
      </c>
      <c r="D58" t="s">
        <v>5</v>
      </c>
    </row>
    <row r="59" spans="1:4" x14ac:dyDescent="0.3">
      <c r="A59" t="s">
        <v>7</v>
      </c>
      <c r="B59">
        <v>94799</v>
      </c>
      <c r="C59">
        <v>2007</v>
      </c>
      <c r="D59" t="s">
        <v>5</v>
      </c>
    </row>
    <row r="60" spans="1:4" x14ac:dyDescent="0.3">
      <c r="A60" t="s">
        <v>7</v>
      </c>
      <c r="B60">
        <v>120798</v>
      </c>
      <c r="C60">
        <v>2008</v>
      </c>
      <c r="D60" t="s">
        <v>5</v>
      </c>
    </row>
    <row r="61" spans="1:4" x14ac:dyDescent="0.3">
      <c r="A61" t="s">
        <v>7</v>
      </c>
      <c r="B61">
        <v>107746</v>
      </c>
      <c r="C61">
        <v>2009</v>
      </c>
      <c r="D61" t="s">
        <v>5</v>
      </c>
    </row>
    <row r="62" spans="1:4" x14ac:dyDescent="0.3">
      <c r="A62" t="s">
        <v>7</v>
      </c>
      <c r="B62">
        <v>94851</v>
      </c>
      <c r="C62">
        <v>2010</v>
      </c>
      <c r="D62" t="s">
        <v>5</v>
      </c>
    </row>
    <row r="63" spans="1:4" x14ac:dyDescent="0.3">
      <c r="A63" t="s">
        <v>7</v>
      </c>
      <c r="B63">
        <v>85508</v>
      </c>
      <c r="C63">
        <v>2011</v>
      </c>
      <c r="D63" t="s">
        <v>5</v>
      </c>
    </row>
    <row r="64" spans="1:4" x14ac:dyDescent="0.3">
      <c r="A64" t="s">
        <v>7</v>
      </c>
      <c r="B64">
        <v>73308</v>
      </c>
      <c r="C64">
        <v>2012</v>
      </c>
      <c r="D64" t="s">
        <v>5</v>
      </c>
    </row>
    <row r="65" spans="1:4" x14ac:dyDescent="0.3">
      <c r="A65" t="s">
        <v>7</v>
      </c>
      <c r="B65">
        <v>57536</v>
      </c>
      <c r="C65">
        <v>2013</v>
      </c>
      <c r="D65" t="s">
        <v>5</v>
      </c>
    </row>
    <row r="66" spans="1:4" x14ac:dyDescent="0.3">
      <c r="A66" t="s">
        <v>7</v>
      </c>
      <c r="B66">
        <v>47273</v>
      </c>
      <c r="C66">
        <v>2014</v>
      </c>
      <c r="D66" t="s">
        <v>5</v>
      </c>
    </row>
    <row r="67" spans="1:4" x14ac:dyDescent="0.3">
      <c r="A67" t="s">
        <v>7</v>
      </c>
      <c r="B67">
        <v>52498</v>
      </c>
      <c r="C67">
        <v>2015</v>
      </c>
      <c r="D67" t="s">
        <v>5</v>
      </c>
    </row>
    <row r="68" spans="1:4" x14ac:dyDescent="0.3">
      <c r="A68" t="s">
        <v>7</v>
      </c>
      <c r="B68">
        <v>52820</v>
      </c>
      <c r="C68">
        <v>2016</v>
      </c>
      <c r="D68" t="s">
        <v>5</v>
      </c>
    </row>
    <row r="69" spans="1:4" x14ac:dyDescent="0.3">
      <c r="A69" t="s">
        <v>7</v>
      </c>
      <c r="B69">
        <v>64037</v>
      </c>
      <c r="C69">
        <v>2017</v>
      </c>
      <c r="D69" t="s">
        <v>5</v>
      </c>
    </row>
    <row r="70" spans="1:4" x14ac:dyDescent="0.3">
      <c r="A70" t="s">
        <v>7</v>
      </c>
      <c r="B70">
        <v>58004</v>
      </c>
      <c r="C70">
        <v>2018</v>
      </c>
      <c r="D70" t="s">
        <v>5</v>
      </c>
    </row>
    <row r="71" spans="1:4" x14ac:dyDescent="0.3">
      <c r="A71" t="s">
        <v>7</v>
      </c>
      <c r="B71">
        <v>83703</v>
      </c>
      <c r="C71">
        <v>2019</v>
      </c>
      <c r="D71" t="s">
        <v>5</v>
      </c>
    </row>
    <row r="72" spans="1:4" x14ac:dyDescent="0.3">
      <c r="A72" t="s">
        <v>7</v>
      </c>
      <c r="B72">
        <v>69739</v>
      </c>
      <c r="C72">
        <v>2020</v>
      </c>
      <c r="D72" t="s">
        <v>5</v>
      </c>
    </row>
    <row r="73" spans="1:4" x14ac:dyDescent="0.3">
      <c r="A73" t="s">
        <v>7</v>
      </c>
      <c r="B73">
        <v>71502</v>
      </c>
      <c r="C73">
        <v>2021</v>
      </c>
      <c r="D73" t="s">
        <v>5</v>
      </c>
    </row>
    <row r="74" spans="1:4" x14ac:dyDescent="0.3">
      <c r="A74" t="s">
        <v>7</v>
      </c>
      <c r="B74">
        <v>85975</v>
      </c>
      <c r="C74">
        <v>2022</v>
      </c>
      <c r="D74" t="s">
        <v>5</v>
      </c>
    </row>
    <row r="75" spans="1:4" x14ac:dyDescent="0.3">
      <c r="A75" t="s">
        <v>7</v>
      </c>
      <c r="B75">
        <v>64272</v>
      </c>
      <c r="C75">
        <v>2023</v>
      </c>
      <c r="D75" t="s">
        <v>5</v>
      </c>
    </row>
    <row r="76" spans="1:4" x14ac:dyDescent="0.3">
      <c r="A76" t="s">
        <v>7</v>
      </c>
      <c r="B76">
        <v>52329</v>
      </c>
      <c r="C76">
        <v>2024</v>
      </c>
      <c r="D76" t="s">
        <v>5</v>
      </c>
    </row>
    <row r="77" spans="1:4" x14ac:dyDescent="0.3">
      <c r="A77" t="s">
        <v>8</v>
      </c>
      <c r="B77">
        <v>62206</v>
      </c>
      <c r="C77">
        <v>2000</v>
      </c>
      <c r="D77" t="s">
        <v>5</v>
      </c>
    </row>
    <row r="78" spans="1:4" x14ac:dyDescent="0.3">
      <c r="A78" t="s">
        <v>8</v>
      </c>
      <c r="B78">
        <v>63708</v>
      </c>
      <c r="C78">
        <v>2001</v>
      </c>
      <c r="D78" t="s">
        <v>5</v>
      </c>
    </row>
    <row r="79" spans="1:4" x14ac:dyDescent="0.3">
      <c r="A79" t="s">
        <v>8</v>
      </c>
      <c r="B79">
        <v>63016</v>
      </c>
      <c r="C79">
        <v>2002</v>
      </c>
      <c r="D79" t="s">
        <v>5</v>
      </c>
    </row>
    <row r="80" spans="1:4" x14ac:dyDescent="0.3">
      <c r="A80" t="s">
        <v>8</v>
      </c>
      <c r="B80">
        <v>61875</v>
      </c>
      <c r="C80">
        <v>2003</v>
      </c>
      <c r="D80" t="s">
        <v>5</v>
      </c>
    </row>
    <row r="81" spans="1:4" x14ac:dyDescent="0.3">
      <c r="A81" t="s">
        <v>8</v>
      </c>
      <c r="B81">
        <v>63606</v>
      </c>
      <c r="C81">
        <v>2004</v>
      </c>
      <c r="D81" t="s">
        <v>5</v>
      </c>
    </row>
    <row r="82" spans="1:4" x14ac:dyDescent="0.3">
      <c r="A82" t="s">
        <v>8</v>
      </c>
      <c r="B82">
        <v>57539</v>
      </c>
      <c r="C82">
        <v>2005</v>
      </c>
      <c r="D82" t="s">
        <v>5</v>
      </c>
    </row>
    <row r="83" spans="1:4" x14ac:dyDescent="0.3">
      <c r="A83" t="s">
        <v>8</v>
      </c>
      <c r="B83">
        <v>60126</v>
      </c>
      <c r="C83">
        <v>2006</v>
      </c>
      <c r="D83" t="s">
        <v>5</v>
      </c>
    </row>
    <row r="84" spans="1:4" x14ac:dyDescent="0.3">
      <c r="A84" t="s">
        <v>8</v>
      </c>
      <c r="B84">
        <v>55103</v>
      </c>
      <c r="C84">
        <v>2007</v>
      </c>
      <c r="D84" t="s">
        <v>5</v>
      </c>
    </row>
    <row r="85" spans="1:4" x14ac:dyDescent="0.3">
      <c r="A85" t="s">
        <v>8</v>
      </c>
      <c r="B85">
        <v>58973</v>
      </c>
      <c r="C85">
        <v>2008</v>
      </c>
      <c r="D85" t="s">
        <v>5</v>
      </c>
    </row>
    <row r="86" spans="1:4" x14ac:dyDescent="0.3">
      <c r="A86" t="s">
        <v>8</v>
      </c>
      <c r="B86">
        <v>52761</v>
      </c>
      <c r="C86">
        <v>2009</v>
      </c>
      <c r="D86" t="s">
        <v>5</v>
      </c>
    </row>
    <row r="87" spans="1:4" x14ac:dyDescent="0.3">
      <c r="A87" t="s">
        <v>8</v>
      </c>
      <c r="B87">
        <v>61990</v>
      </c>
      <c r="C87">
        <v>2010</v>
      </c>
      <c r="D87" t="s">
        <v>5</v>
      </c>
    </row>
    <row r="88" spans="1:4" x14ac:dyDescent="0.3">
      <c r="A88" t="s">
        <v>8</v>
      </c>
      <c r="B88">
        <v>57718</v>
      </c>
      <c r="C88">
        <v>2011</v>
      </c>
      <c r="D88" t="s">
        <v>5</v>
      </c>
    </row>
    <row r="89" spans="1:4" x14ac:dyDescent="0.3">
      <c r="A89" t="s">
        <v>8</v>
      </c>
      <c r="B89">
        <v>61470</v>
      </c>
      <c r="C89">
        <v>2012</v>
      </c>
      <c r="D89" t="s">
        <v>5</v>
      </c>
    </row>
    <row r="90" spans="1:4" x14ac:dyDescent="0.3">
      <c r="A90" t="s">
        <v>8</v>
      </c>
      <c r="B90">
        <v>56726</v>
      </c>
      <c r="C90">
        <v>2013</v>
      </c>
      <c r="D90" t="s">
        <v>5</v>
      </c>
    </row>
    <row r="91" spans="1:4" x14ac:dyDescent="0.3">
      <c r="A91" t="s">
        <v>8</v>
      </c>
      <c r="B91">
        <v>57305</v>
      </c>
      <c r="C91">
        <v>2014</v>
      </c>
      <c r="D91" t="s">
        <v>5</v>
      </c>
    </row>
    <row r="92" spans="1:4" x14ac:dyDescent="0.3">
      <c r="A92" t="s">
        <v>8</v>
      </c>
      <c r="B92">
        <v>57196</v>
      </c>
      <c r="C92">
        <v>2015</v>
      </c>
      <c r="D92" t="s">
        <v>5</v>
      </c>
    </row>
    <row r="93" spans="1:4" x14ac:dyDescent="0.3">
      <c r="A93" t="s">
        <v>8</v>
      </c>
      <c r="B93">
        <v>58633</v>
      </c>
      <c r="C93">
        <v>2016</v>
      </c>
      <c r="D93" t="s">
        <v>5</v>
      </c>
    </row>
    <row r="94" spans="1:4" x14ac:dyDescent="0.3">
      <c r="A94" t="s">
        <v>8</v>
      </c>
      <c r="B94">
        <v>58039</v>
      </c>
      <c r="C94">
        <v>2017</v>
      </c>
      <c r="D94" t="s">
        <v>5</v>
      </c>
    </row>
    <row r="95" spans="1:4" x14ac:dyDescent="0.3">
      <c r="A95" t="s">
        <v>8</v>
      </c>
      <c r="B95">
        <v>55766</v>
      </c>
      <c r="C95">
        <v>2018</v>
      </c>
      <c r="D95" t="s">
        <v>5</v>
      </c>
    </row>
    <row r="96" spans="1:4" x14ac:dyDescent="0.3">
      <c r="A96" t="s">
        <v>8</v>
      </c>
      <c r="B96">
        <v>58349</v>
      </c>
      <c r="C96">
        <v>2019</v>
      </c>
      <c r="D96" t="s">
        <v>5</v>
      </c>
    </row>
    <row r="97" spans="1:4" x14ac:dyDescent="0.3">
      <c r="A97" t="s">
        <v>8</v>
      </c>
      <c r="B97">
        <v>58299</v>
      </c>
      <c r="C97">
        <v>2020</v>
      </c>
      <c r="D97" t="s">
        <v>5</v>
      </c>
    </row>
    <row r="98" spans="1:4" x14ac:dyDescent="0.3">
      <c r="A98" t="s">
        <v>8</v>
      </c>
      <c r="B98">
        <v>56564</v>
      </c>
      <c r="C98">
        <v>2021</v>
      </c>
      <c r="D98" t="s">
        <v>5</v>
      </c>
    </row>
    <row r="99" spans="1:4" x14ac:dyDescent="0.3">
      <c r="A99" t="s">
        <v>8</v>
      </c>
      <c r="B99">
        <v>58590</v>
      </c>
      <c r="C99">
        <v>2022</v>
      </c>
      <c r="D99" t="s">
        <v>5</v>
      </c>
    </row>
    <row r="100" spans="1:4" x14ac:dyDescent="0.3">
      <c r="A100" t="s">
        <v>8</v>
      </c>
      <c r="B100">
        <v>56873</v>
      </c>
      <c r="C100">
        <v>2023</v>
      </c>
      <c r="D100" t="s">
        <v>5</v>
      </c>
    </row>
    <row r="101" spans="1:4" x14ac:dyDescent="0.3">
      <c r="A101" t="s">
        <v>8</v>
      </c>
      <c r="B101">
        <v>54532</v>
      </c>
      <c r="C101">
        <v>2024</v>
      </c>
      <c r="D101" t="s">
        <v>5</v>
      </c>
    </row>
    <row r="102" spans="1:4" x14ac:dyDescent="0.3">
      <c r="A102" t="s">
        <v>9</v>
      </c>
      <c r="B102">
        <v>31807</v>
      </c>
      <c r="C102">
        <v>2000</v>
      </c>
      <c r="D102" t="s">
        <v>5</v>
      </c>
    </row>
    <row r="103" spans="1:4" x14ac:dyDescent="0.3">
      <c r="A103" t="s">
        <v>9</v>
      </c>
      <c r="B103">
        <v>43864</v>
      </c>
      <c r="C103">
        <v>2001</v>
      </c>
      <c r="D103" t="s">
        <v>5</v>
      </c>
    </row>
    <row r="104" spans="1:4" x14ac:dyDescent="0.3">
      <c r="A104" t="s">
        <v>9</v>
      </c>
      <c r="B104">
        <v>26270</v>
      </c>
      <c r="C104">
        <v>2002</v>
      </c>
      <c r="D104" t="s">
        <v>5</v>
      </c>
    </row>
    <row r="105" spans="1:4" x14ac:dyDescent="0.3">
      <c r="A105" t="s">
        <v>9</v>
      </c>
      <c r="B105">
        <v>43897</v>
      </c>
      <c r="C105">
        <v>2003</v>
      </c>
      <c r="D105" t="s">
        <v>5</v>
      </c>
    </row>
    <row r="106" spans="1:4" x14ac:dyDescent="0.3">
      <c r="A106" t="s">
        <v>9</v>
      </c>
      <c r="B106">
        <v>34439</v>
      </c>
      <c r="C106">
        <v>2004</v>
      </c>
      <c r="D106" t="s">
        <v>5</v>
      </c>
    </row>
    <row r="107" spans="1:4" x14ac:dyDescent="0.3">
      <c r="A107" t="s">
        <v>9</v>
      </c>
      <c r="B107">
        <v>23025</v>
      </c>
      <c r="C107">
        <v>2005</v>
      </c>
      <c r="D107" t="s">
        <v>5</v>
      </c>
    </row>
    <row r="108" spans="1:4" x14ac:dyDescent="0.3">
      <c r="A108" t="s">
        <v>9</v>
      </c>
      <c r="B108">
        <v>29831</v>
      </c>
      <c r="C108">
        <v>2006</v>
      </c>
      <c r="D108" t="s">
        <v>5</v>
      </c>
    </row>
    <row r="109" spans="1:4" x14ac:dyDescent="0.3">
      <c r="A109" t="s">
        <v>9</v>
      </c>
      <c r="B109">
        <v>30522</v>
      </c>
      <c r="C109">
        <v>2007</v>
      </c>
      <c r="D109" t="s">
        <v>5</v>
      </c>
    </row>
    <row r="110" spans="1:4" x14ac:dyDescent="0.3">
      <c r="A110" t="s">
        <v>9</v>
      </c>
      <c r="B110">
        <v>26144</v>
      </c>
      <c r="C110">
        <v>2008</v>
      </c>
      <c r="D110" t="s">
        <v>5</v>
      </c>
    </row>
    <row r="111" spans="1:4" x14ac:dyDescent="0.3">
      <c r="A111" t="s">
        <v>9</v>
      </c>
      <c r="B111">
        <v>29162</v>
      </c>
      <c r="C111">
        <v>2009</v>
      </c>
      <c r="D111" t="s">
        <v>5</v>
      </c>
    </row>
    <row r="112" spans="1:4" x14ac:dyDescent="0.3">
      <c r="A112" t="s">
        <v>9</v>
      </c>
      <c r="B112">
        <v>45511</v>
      </c>
      <c r="C112">
        <v>2010</v>
      </c>
      <c r="D112" t="s">
        <v>5</v>
      </c>
    </row>
    <row r="113" spans="1:4" x14ac:dyDescent="0.3">
      <c r="A113" t="s">
        <v>9</v>
      </c>
      <c r="B113">
        <v>32911</v>
      </c>
      <c r="C113">
        <v>2011</v>
      </c>
      <c r="D113" t="s">
        <v>5</v>
      </c>
    </row>
    <row r="114" spans="1:4" x14ac:dyDescent="0.3">
      <c r="A114" t="s">
        <v>9</v>
      </c>
      <c r="B114">
        <v>24162</v>
      </c>
      <c r="C114">
        <v>2012</v>
      </c>
      <c r="D114" t="s">
        <v>5</v>
      </c>
    </row>
    <row r="115" spans="1:4" x14ac:dyDescent="0.3">
      <c r="A115" t="s">
        <v>9</v>
      </c>
      <c r="B115">
        <v>41052</v>
      </c>
      <c r="C115">
        <v>2013</v>
      </c>
      <c r="D115" t="s">
        <v>5</v>
      </c>
    </row>
    <row r="116" spans="1:4" x14ac:dyDescent="0.3">
      <c r="A116" t="s">
        <v>9</v>
      </c>
      <c r="B116">
        <v>42969</v>
      </c>
      <c r="C116">
        <v>2014</v>
      </c>
      <c r="D116" t="s">
        <v>5</v>
      </c>
    </row>
    <row r="117" spans="1:4" x14ac:dyDescent="0.3">
      <c r="A117" t="s">
        <v>9</v>
      </c>
      <c r="B117">
        <v>31368</v>
      </c>
      <c r="C117">
        <v>2015</v>
      </c>
      <c r="D117" t="s">
        <v>5</v>
      </c>
    </row>
    <row r="118" spans="1:4" x14ac:dyDescent="0.3">
      <c r="A118" t="s">
        <v>9</v>
      </c>
      <c r="B118">
        <v>39865</v>
      </c>
      <c r="C118">
        <v>2016</v>
      </c>
      <c r="D118" t="s">
        <v>5</v>
      </c>
    </row>
    <row r="119" spans="1:4" x14ac:dyDescent="0.3">
      <c r="A119" t="s">
        <v>9</v>
      </c>
      <c r="B119">
        <v>21070</v>
      </c>
      <c r="C119">
        <v>2017</v>
      </c>
      <c r="D119" t="s">
        <v>5</v>
      </c>
    </row>
    <row r="120" spans="1:4" x14ac:dyDescent="0.3">
      <c r="A120" t="s">
        <v>9</v>
      </c>
      <c r="B120">
        <v>36803</v>
      </c>
      <c r="C120">
        <v>2018</v>
      </c>
      <c r="D120" t="s">
        <v>5</v>
      </c>
    </row>
    <row r="121" spans="1:4" x14ac:dyDescent="0.3">
      <c r="A121" t="s">
        <v>9</v>
      </c>
      <c r="B121">
        <v>26874</v>
      </c>
      <c r="C121">
        <v>2019</v>
      </c>
      <c r="D121" t="s">
        <v>5</v>
      </c>
    </row>
    <row r="122" spans="1:4" x14ac:dyDescent="0.3">
      <c r="A122" t="s">
        <v>9</v>
      </c>
      <c r="B122">
        <v>33998</v>
      </c>
      <c r="C122">
        <v>2020</v>
      </c>
      <c r="D122" t="s">
        <v>5</v>
      </c>
    </row>
    <row r="123" spans="1:4" x14ac:dyDescent="0.3">
      <c r="A123" t="s">
        <v>9</v>
      </c>
      <c r="B123">
        <v>32847</v>
      </c>
      <c r="C123">
        <v>2021</v>
      </c>
      <c r="D123" t="s">
        <v>5</v>
      </c>
    </row>
    <row r="124" spans="1:4" x14ac:dyDescent="0.3">
      <c r="A124" t="s">
        <v>9</v>
      </c>
      <c r="B124">
        <v>22102</v>
      </c>
      <c r="C124">
        <v>2022</v>
      </c>
      <c r="D124" t="s">
        <v>5</v>
      </c>
    </row>
    <row r="125" spans="1:4" x14ac:dyDescent="0.3">
      <c r="A125" t="s">
        <v>9</v>
      </c>
      <c r="B125">
        <v>31105</v>
      </c>
      <c r="C125">
        <v>2023</v>
      </c>
      <c r="D125" t="s">
        <v>5</v>
      </c>
    </row>
    <row r="126" spans="1:4" x14ac:dyDescent="0.3">
      <c r="A126" t="s">
        <v>9</v>
      </c>
      <c r="B126">
        <v>40821</v>
      </c>
      <c r="C126">
        <v>2024</v>
      </c>
      <c r="D126" t="s">
        <v>5</v>
      </c>
    </row>
    <row r="127" spans="1:4" x14ac:dyDescent="0.3">
      <c r="A127" t="s">
        <v>10</v>
      </c>
      <c r="C127">
        <v>2000</v>
      </c>
      <c r="D127" t="s">
        <v>5</v>
      </c>
    </row>
    <row r="128" spans="1:4" x14ac:dyDescent="0.3">
      <c r="A128" t="s">
        <v>10</v>
      </c>
      <c r="C128">
        <v>2001</v>
      </c>
      <c r="D128" t="s">
        <v>5</v>
      </c>
    </row>
    <row r="129" spans="1:4" x14ac:dyDescent="0.3">
      <c r="A129" t="s">
        <v>10</v>
      </c>
      <c r="C129">
        <v>2002</v>
      </c>
      <c r="D129" t="s">
        <v>5</v>
      </c>
    </row>
    <row r="130" spans="1:4" x14ac:dyDescent="0.3">
      <c r="A130" t="s">
        <v>10</v>
      </c>
      <c r="C130">
        <v>2003</v>
      </c>
      <c r="D130" t="s">
        <v>5</v>
      </c>
    </row>
    <row r="131" spans="1:4" x14ac:dyDescent="0.3">
      <c r="A131" t="s">
        <v>10</v>
      </c>
      <c r="C131">
        <v>2004</v>
      </c>
      <c r="D131" t="s">
        <v>5</v>
      </c>
    </row>
    <row r="132" spans="1:4" x14ac:dyDescent="0.3">
      <c r="A132" t="s">
        <v>10</v>
      </c>
      <c r="C132">
        <v>2005</v>
      </c>
      <c r="D132" t="s">
        <v>5</v>
      </c>
    </row>
    <row r="133" spans="1:4" x14ac:dyDescent="0.3">
      <c r="A133" t="s">
        <v>10</v>
      </c>
      <c r="C133">
        <v>2006</v>
      </c>
      <c r="D133" t="s">
        <v>5</v>
      </c>
    </row>
    <row r="134" spans="1:4" x14ac:dyDescent="0.3">
      <c r="A134" t="s">
        <v>10</v>
      </c>
      <c r="C134">
        <v>2007</v>
      </c>
      <c r="D134" t="s">
        <v>5</v>
      </c>
    </row>
    <row r="135" spans="1:4" x14ac:dyDescent="0.3">
      <c r="A135" t="s">
        <v>10</v>
      </c>
      <c r="C135">
        <v>2008</v>
      </c>
      <c r="D135" t="s">
        <v>5</v>
      </c>
    </row>
    <row r="136" spans="1:4" x14ac:dyDescent="0.3">
      <c r="A136" t="s">
        <v>10</v>
      </c>
      <c r="C136">
        <v>2009</v>
      </c>
      <c r="D136" t="s">
        <v>5</v>
      </c>
    </row>
    <row r="137" spans="1:4" x14ac:dyDescent="0.3">
      <c r="A137" t="s">
        <v>10</v>
      </c>
      <c r="C137">
        <v>2010</v>
      </c>
      <c r="D137" t="s">
        <v>5</v>
      </c>
    </row>
    <row r="138" spans="1:4" x14ac:dyDescent="0.3">
      <c r="A138" t="s">
        <v>10</v>
      </c>
      <c r="C138">
        <v>2011</v>
      </c>
      <c r="D138" t="s">
        <v>5</v>
      </c>
    </row>
    <row r="139" spans="1:4" x14ac:dyDescent="0.3">
      <c r="A139" t="s">
        <v>10</v>
      </c>
      <c r="C139">
        <v>2012</v>
      </c>
      <c r="D139" t="s">
        <v>5</v>
      </c>
    </row>
    <row r="140" spans="1:4" x14ac:dyDescent="0.3">
      <c r="A140" t="s">
        <v>10</v>
      </c>
      <c r="C140">
        <v>2013</v>
      </c>
      <c r="D140" t="s">
        <v>5</v>
      </c>
    </row>
    <row r="141" spans="1:4" x14ac:dyDescent="0.3">
      <c r="A141" t="s">
        <v>10</v>
      </c>
      <c r="C141">
        <v>2014</v>
      </c>
      <c r="D141" t="s">
        <v>5</v>
      </c>
    </row>
    <row r="142" spans="1:4" x14ac:dyDescent="0.3">
      <c r="A142" t="s">
        <v>10</v>
      </c>
      <c r="C142">
        <v>2015</v>
      </c>
      <c r="D142" t="s">
        <v>5</v>
      </c>
    </row>
    <row r="143" spans="1:4" x14ac:dyDescent="0.3">
      <c r="A143" t="s">
        <v>10</v>
      </c>
      <c r="C143">
        <v>2016</v>
      </c>
      <c r="D143" t="s">
        <v>5</v>
      </c>
    </row>
    <row r="144" spans="1:4" x14ac:dyDescent="0.3">
      <c r="A144" t="s">
        <v>10</v>
      </c>
      <c r="C144">
        <v>2017</v>
      </c>
      <c r="D144" t="s">
        <v>5</v>
      </c>
    </row>
    <row r="145" spans="1:4" x14ac:dyDescent="0.3">
      <c r="A145" t="s">
        <v>10</v>
      </c>
      <c r="C145">
        <v>2018</v>
      </c>
      <c r="D145" t="s">
        <v>5</v>
      </c>
    </row>
    <row r="146" spans="1:4" x14ac:dyDescent="0.3">
      <c r="A146" t="s">
        <v>10</v>
      </c>
      <c r="B146">
        <v>20</v>
      </c>
      <c r="C146">
        <v>2019</v>
      </c>
      <c r="D146" t="s">
        <v>5</v>
      </c>
    </row>
    <row r="147" spans="1:4" x14ac:dyDescent="0.3">
      <c r="A147" t="s">
        <v>10</v>
      </c>
      <c r="B147">
        <v>27</v>
      </c>
      <c r="C147">
        <v>2020</v>
      </c>
      <c r="D147" t="s">
        <v>5</v>
      </c>
    </row>
    <row r="148" spans="1:4" x14ac:dyDescent="0.3">
      <c r="A148" t="s">
        <v>10</v>
      </c>
      <c r="B148">
        <v>19</v>
      </c>
      <c r="C148">
        <v>2021</v>
      </c>
      <c r="D148" t="s">
        <v>5</v>
      </c>
    </row>
    <row r="149" spans="1:4" x14ac:dyDescent="0.3">
      <c r="A149" t="s">
        <v>10</v>
      </c>
      <c r="B149">
        <v>23</v>
      </c>
      <c r="C149">
        <v>2022</v>
      </c>
      <c r="D149" t="s">
        <v>5</v>
      </c>
    </row>
    <row r="150" spans="1:4" x14ac:dyDescent="0.3">
      <c r="A150" t="s">
        <v>10</v>
      </c>
      <c r="B150">
        <v>12</v>
      </c>
      <c r="C150">
        <v>2023</v>
      </c>
      <c r="D150" t="s">
        <v>5</v>
      </c>
    </row>
    <row r="151" spans="1:4" x14ac:dyDescent="0.3">
      <c r="A151" t="s">
        <v>10</v>
      </c>
      <c r="B151">
        <v>8</v>
      </c>
      <c r="C151">
        <v>2024</v>
      </c>
      <c r="D151" t="s">
        <v>5</v>
      </c>
    </row>
    <row r="152" spans="1:4" x14ac:dyDescent="0.3">
      <c r="A152" t="s">
        <v>11</v>
      </c>
      <c r="B152">
        <v>1159</v>
      </c>
      <c r="C152">
        <v>2000</v>
      </c>
      <c r="D152" t="s">
        <v>5</v>
      </c>
    </row>
    <row r="153" spans="1:4" x14ac:dyDescent="0.3">
      <c r="A153" t="s">
        <v>11</v>
      </c>
      <c r="B153">
        <v>1297</v>
      </c>
      <c r="C153">
        <v>2001</v>
      </c>
      <c r="D153" t="s">
        <v>5</v>
      </c>
    </row>
    <row r="154" spans="1:4" x14ac:dyDescent="0.3">
      <c r="A154" t="s">
        <v>11</v>
      </c>
      <c r="B154">
        <v>2303</v>
      </c>
      <c r="C154">
        <v>2002</v>
      </c>
      <c r="D154" t="s">
        <v>5</v>
      </c>
    </row>
    <row r="155" spans="1:4" x14ac:dyDescent="0.3">
      <c r="A155" t="s">
        <v>11</v>
      </c>
      <c r="B155">
        <v>2853</v>
      </c>
      <c r="C155">
        <v>2003</v>
      </c>
      <c r="D155" t="s">
        <v>5</v>
      </c>
    </row>
    <row r="156" spans="1:4" x14ac:dyDescent="0.3">
      <c r="A156" t="s">
        <v>11</v>
      </c>
      <c r="B156">
        <v>3039</v>
      </c>
      <c r="C156">
        <v>2004</v>
      </c>
      <c r="D156" t="s">
        <v>5</v>
      </c>
    </row>
    <row r="157" spans="1:4" x14ac:dyDescent="0.3">
      <c r="A157" t="s">
        <v>11</v>
      </c>
      <c r="B157">
        <v>2202</v>
      </c>
      <c r="C157">
        <v>2005</v>
      </c>
      <c r="D157" t="s">
        <v>5</v>
      </c>
    </row>
    <row r="158" spans="1:4" x14ac:dyDescent="0.3">
      <c r="A158" t="s">
        <v>11</v>
      </c>
      <c r="B158">
        <v>2173</v>
      </c>
      <c r="C158">
        <v>2006</v>
      </c>
      <c r="D158" t="s">
        <v>5</v>
      </c>
    </row>
    <row r="159" spans="1:4" x14ac:dyDescent="0.3">
      <c r="A159" t="s">
        <v>11</v>
      </c>
      <c r="B159">
        <v>2161</v>
      </c>
      <c r="C159">
        <v>2007</v>
      </c>
      <c r="D159" t="s">
        <v>5</v>
      </c>
    </row>
    <row r="160" spans="1:4" x14ac:dyDescent="0.3">
      <c r="A160" t="s">
        <v>11</v>
      </c>
      <c r="B160">
        <v>2473</v>
      </c>
      <c r="C160">
        <v>2008</v>
      </c>
      <c r="D160" t="s">
        <v>5</v>
      </c>
    </row>
    <row r="161" spans="1:4" x14ac:dyDescent="0.3">
      <c r="A161" t="s">
        <v>11</v>
      </c>
      <c r="B161">
        <v>2727</v>
      </c>
      <c r="C161">
        <v>2009</v>
      </c>
      <c r="D161" t="s">
        <v>5</v>
      </c>
    </row>
    <row r="162" spans="1:4" x14ac:dyDescent="0.3">
      <c r="A162" t="s">
        <v>11</v>
      </c>
      <c r="B162">
        <v>3356</v>
      </c>
      <c r="C162">
        <v>2010</v>
      </c>
      <c r="D162" t="s">
        <v>5</v>
      </c>
    </row>
    <row r="163" spans="1:4" x14ac:dyDescent="0.3">
      <c r="A163" t="s">
        <v>11</v>
      </c>
      <c r="B163">
        <v>3814</v>
      </c>
      <c r="C163">
        <v>2011</v>
      </c>
      <c r="D163" t="s">
        <v>5</v>
      </c>
    </row>
    <row r="164" spans="1:4" x14ac:dyDescent="0.3">
      <c r="A164" t="s">
        <v>11</v>
      </c>
      <c r="B164">
        <v>4262</v>
      </c>
      <c r="C164">
        <v>2012</v>
      </c>
      <c r="D164" t="s">
        <v>5</v>
      </c>
    </row>
    <row r="165" spans="1:4" x14ac:dyDescent="0.3">
      <c r="A165" t="s">
        <v>11</v>
      </c>
      <c r="B165">
        <v>5116</v>
      </c>
      <c r="C165">
        <v>2013</v>
      </c>
      <c r="D165" t="s">
        <v>5</v>
      </c>
    </row>
    <row r="166" spans="1:4" x14ac:dyDescent="0.3">
      <c r="A166" t="s">
        <v>11</v>
      </c>
      <c r="B166">
        <v>4728</v>
      </c>
      <c r="C166">
        <v>2014</v>
      </c>
      <c r="D166" t="s">
        <v>5</v>
      </c>
    </row>
    <row r="167" spans="1:4" x14ac:dyDescent="0.3">
      <c r="A167" t="s">
        <v>11</v>
      </c>
      <c r="B167">
        <v>4996</v>
      </c>
      <c r="C167">
        <v>2015</v>
      </c>
      <c r="D167" t="s">
        <v>5</v>
      </c>
    </row>
    <row r="168" spans="1:4" x14ac:dyDescent="0.3">
      <c r="A168" t="s">
        <v>11</v>
      </c>
      <c r="B168">
        <v>4954</v>
      </c>
      <c r="C168">
        <v>2016</v>
      </c>
      <c r="D168" t="s">
        <v>5</v>
      </c>
    </row>
    <row r="169" spans="1:4" x14ac:dyDescent="0.3">
      <c r="A169" t="s">
        <v>11</v>
      </c>
      <c r="B169">
        <v>5306</v>
      </c>
      <c r="C169">
        <v>2017</v>
      </c>
      <c r="D169" t="s">
        <v>5</v>
      </c>
    </row>
    <row r="170" spans="1:4" x14ac:dyDescent="0.3">
      <c r="A170" t="s">
        <v>11</v>
      </c>
      <c r="B170">
        <v>5156</v>
      </c>
      <c r="C170">
        <v>2018</v>
      </c>
      <c r="D170" t="s">
        <v>5</v>
      </c>
    </row>
    <row r="171" spans="1:4" x14ac:dyDescent="0.3">
      <c r="A171" t="s">
        <v>11</v>
      </c>
      <c r="B171">
        <v>4802</v>
      </c>
      <c r="C171">
        <v>2019</v>
      </c>
      <c r="D171" t="s">
        <v>5</v>
      </c>
    </row>
    <row r="172" spans="1:4" x14ac:dyDescent="0.3">
      <c r="A172" t="s">
        <v>11</v>
      </c>
      <c r="B172">
        <v>5435</v>
      </c>
      <c r="C172">
        <v>2020</v>
      </c>
      <c r="D172" t="s">
        <v>5</v>
      </c>
    </row>
    <row r="173" spans="1:4" x14ac:dyDescent="0.3">
      <c r="A173" t="s">
        <v>11</v>
      </c>
      <c r="B173">
        <v>6088</v>
      </c>
      <c r="C173">
        <v>2021</v>
      </c>
      <c r="D173" t="s">
        <v>5</v>
      </c>
    </row>
    <row r="174" spans="1:4" x14ac:dyDescent="0.3">
      <c r="A174" t="s">
        <v>11</v>
      </c>
      <c r="B174">
        <v>5935</v>
      </c>
      <c r="C174">
        <v>2022</v>
      </c>
      <c r="D174" t="s">
        <v>5</v>
      </c>
    </row>
    <row r="175" spans="1:4" x14ac:dyDescent="0.3">
      <c r="A175" t="s">
        <v>11</v>
      </c>
      <c r="B175">
        <v>5062</v>
      </c>
      <c r="C175">
        <v>2023</v>
      </c>
      <c r="D175" t="s">
        <v>5</v>
      </c>
    </row>
    <row r="176" spans="1:4" x14ac:dyDescent="0.3">
      <c r="A176" t="s">
        <v>11</v>
      </c>
      <c r="B176">
        <v>5319</v>
      </c>
      <c r="C176">
        <v>2024</v>
      </c>
      <c r="D176" t="s">
        <v>5</v>
      </c>
    </row>
    <row r="177" spans="1:4" x14ac:dyDescent="0.3">
      <c r="A177" t="s">
        <v>12</v>
      </c>
      <c r="B177">
        <v>941</v>
      </c>
      <c r="C177">
        <v>2000</v>
      </c>
      <c r="D177" t="s">
        <v>5</v>
      </c>
    </row>
    <row r="178" spans="1:4" x14ac:dyDescent="0.3">
      <c r="A178" t="s">
        <v>12</v>
      </c>
      <c r="B178">
        <v>667</v>
      </c>
      <c r="C178">
        <v>2001</v>
      </c>
      <c r="D178" t="s">
        <v>5</v>
      </c>
    </row>
    <row r="179" spans="1:4" x14ac:dyDescent="0.3">
      <c r="A179" t="s">
        <v>12</v>
      </c>
      <c r="B179">
        <v>566</v>
      </c>
      <c r="C179">
        <v>2002</v>
      </c>
      <c r="D179" t="s">
        <v>5</v>
      </c>
    </row>
    <row r="180" spans="1:4" x14ac:dyDescent="0.3">
      <c r="A180" t="s">
        <v>12</v>
      </c>
      <c r="B180">
        <v>661</v>
      </c>
      <c r="C180">
        <v>2003</v>
      </c>
      <c r="D180" t="s">
        <v>5</v>
      </c>
    </row>
    <row r="181" spans="1:4" x14ac:dyDescent="0.3">
      <c r="A181" t="s">
        <v>12</v>
      </c>
      <c r="B181">
        <v>582</v>
      </c>
      <c r="C181">
        <v>2004</v>
      </c>
      <c r="D181" t="s">
        <v>5</v>
      </c>
    </row>
    <row r="182" spans="1:4" x14ac:dyDescent="0.3">
      <c r="A182" t="s">
        <v>12</v>
      </c>
      <c r="B182">
        <v>902</v>
      </c>
      <c r="C182">
        <v>2005</v>
      </c>
      <c r="D182" t="s">
        <v>5</v>
      </c>
    </row>
    <row r="183" spans="1:4" x14ac:dyDescent="0.3">
      <c r="A183" t="s">
        <v>12</v>
      </c>
      <c r="B183">
        <v>1202</v>
      </c>
      <c r="C183">
        <v>2006</v>
      </c>
      <c r="D183" t="s">
        <v>5</v>
      </c>
    </row>
    <row r="184" spans="1:4" x14ac:dyDescent="0.3">
      <c r="A184" t="s">
        <v>12</v>
      </c>
      <c r="B184">
        <v>1474</v>
      </c>
      <c r="C184">
        <v>2007</v>
      </c>
      <c r="D184" t="s">
        <v>5</v>
      </c>
    </row>
    <row r="185" spans="1:4" x14ac:dyDescent="0.3">
      <c r="A185" t="s">
        <v>12</v>
      </c>
      <c r="B185">
        <v>1564</v>
      </c>
      <c r="C185">
        <v>2008</v>
      </c>
      <c r="D185" t="s">
        <v>5</v>
      </c>
    </row>
    <row r="186" spans="1:4" x14ac:dyDescent="0.3">
      <c r="A186" t="s">
        <v>12</v>
      </c>
      <c r="B186">
        <v>1522</v>
      </c>
      <c r="C186">
        <v>2009</v>
      </c>
      <c r="D186" t="s">
        <v>5</v>
      </c>
    </row>
    <row r="187" spans="1:4" x14ac:dyDescent="0.3">
      <c r="A187" t="s">
        <v>12</v>
      </c>
      <c r="B187">
        <v>1318</v>
      </c>
      <c r="C187">
        <v>2010</v>
      </c>
      <c r="D187" t="s">
        <v>5</v>
      </c>
    </row>
    <row r="188" spans="1:4" x14ac:dyDescent="0.3">
      <c r="A188" t="s">
        <v>12</v>
      </c>
      <c r="B188">
        <v>1590</v>
      </c>
      <c r="C188">
        <v>2011</v>
      </c>
      <c r="D188" t="s">
        <v>5</v>
      </c>
    </row>
    <row r="189" spans="1:4" x14ac:dyDescent="0.3">
      <c r="A189" t="s">
        <v>12</v>
      </c>
      <c r="B189">
        <v>1430</v>
      </c>
      <c r="C189">
        <v>2012</v>
      </c>
      <c r="D189" t="s">
        <v>5</v>
      </c>
    </row>
    <row r="190" spans="1:4" x14ac:dyDescent="0.3">
      <c r="A190" t="s">
        <v>12</v>
      </c>
      <c r="B190">
        <v>1364</v>
      </c>
      <c r="C190">
        <v>2013</v>
      </c>
      <c r="D190" t="s">
        <v>5</v>
      </c>
    </row>
    <row r="191" spans="1:4" x14ac:dyDescent="0.3">
      <c r="A191" t="s">
        <v>12</v>
      </c>
      <c r="B191">
        <v>1372</v>
      </c>
      <c r="C191">
        <v>2014</v>
      </c>
      <c r="D191" t="s">
        <v>5</v>
      </c>
    </row>
    <row r="192" spans="1:4" x14ac:dyDescent="0.3">
      <c r="A192" t="s">
        <v>12</v>
      </c>
      <c r="B192">
        <v>1536</v>
      </c>
      <c r="C192">
        <v>2015</v>
      </c>
      <c r="D192" t="s">
        <v>5</v>
      </c>
    </row>
    <row r="193" spans="1:4" x14ac:dyDescent="0.3">
      <c r="A193" t="s">
        <v>12</v>
      </c>
      <c r="B193">
        <v>1470</v>
      </c>
      <c r="C193">
        <v>2016</v>
      </c>
      <c r="D193" t="s">
        <v>5</v>
      </c>
    </row>
    <row r="194" spans="1:4" x14ac:dyDescent="0.3">
      <c r="A194" t="s">
        <v>12</v>
      </c>
      <c r="B194">
        <v>1544</v>
      </c>
      <c r="C194">
        <v>2017</v>
      </c>
      <c r="D194" t="s">
        <v>5</v>
      </c>
    </row>
    <row r="195" spans="1:4" x14ac:dyDescent="0.3">
      <c r="A195" t="s">
        <v>12</v>
      </c>
      <c r="B195">
        <v>1775</v>
      </c>
      <c r="C195">
        <v>2018</v>
      </c>
      <c r="D195" t="s">
        <v>5</v>
      </c>
    </row>
    <row r="196" spans="1:4" x14ac:dyDescent="0.3">
      <c r="A196" t="s">
        <v>12</v>
      </c>
      <c r="B196">
        <v>1755</v>
      </c>
      <c r="C196">
        <v>2019</v>
      </c>
      <c r="D196" t="s">
        <v>5</v>
      </c>
    </row>
    <row r="197" spans="1:4" x14ac:dyDescent="0.3">
      <c r="A197" t="s">
        <v>12</v>
      </c>
      <c r="B197">
        <v>1751</v>
      </c>
      <c r="C197">
        <v>2020</v>
      </c>
      <c r="D197" t="s">
        <v>5</v>
      </c>
    </row>
    <row r="198" spans="1:4" x14ac:dyDescent="0.3">
      <c r="A198" t="s">
        <v>12</v>
      </c>
      <c r="B198">
        <v>1795</v>
      </c>
      <c r="C198">
        <v>2021</v>
      </c>
      <c r="D198" t="s">
        <v>5</v>
      </c>
    </row>
    <row r="199" spans="1:4" x14ac:dyDescent="0.3">
      <c r="A199" t="s">
        <v>12</v>
      </c>
      <c r="B199">
        <v>1754</v>
      </c>
      <c r="C199">
        <v>2022</v>
      </c>
      <c r="D199" t="s">
        <v>5</v>
      </c>
    </row>
    <row r="200" spans="1:4" x14ac:dyDescent="0.3">
      <c r="A200" t="s">
        <v>12</v>
      </c>
      <c r="B200">
        <v>1683</v>
      </c>
      <c r="C200">
        <v>2023</v>
      </c>
      <c r="D200" t="s">
        <v>5</v>
      </c>
    </row>
    <row r="201" spans="1:4" x14ac:dyDescent="0.3">
      <c r="A201" t="s">
        <v>12</v>
      </c>
      <c r="B201">
        <v>1686</v>
      </c>
      <c r="C201">
        <v>2024</v>
      </c>
      <c r="D201" t="s">
        <v>5</v>
      </c>
    </row>
    <row r="202" spans="1:4" x14ac:dyDescent="0.3">
      <c r="A202" t="s">
        <v>13</v>
      </c>
      <c r="B202">
        <v>4727</v>
      </c>
      <c r="C202">
        <v>2000</v>
      </c>
      <c r="D202" t="s">
        <v>5</v>
      </c>
    </row>
    <row r="203" spans="1:4" x14ac:dyDescent="0.3">
      <c r="A203" t="s">
        <v>13</v>
      </c>
      <c r="B203">
        <v>6759</v>
      </c>
      <c r="C203">
        <v>2001</v>
      </c>
      <c r="D203" t="s">
        <v>5</v>
      </c>
    </row>
    <row r="204" spans="1:4" x14ac:dyDescent="0.3">
      <c r="A204" t="s">
        <v>13</v>
      </c>
      <c r="B204">
        <v>9342</v>
      </c>
      <c r="C204">
        <v>2002</v>
      </c>
      <c r="D204" t="s">
        <v>5</v>
      </c>
    </row>
    <row r="205" spans="1:4" x14ac:dyDescent="0.3">
      <c r="A205" t="s">
        <v>13</v>
      </c>
      <c r="B205">
        <v>12075</v>
      </c>
      <c r="C205">
        <v>2003</v>
      </c>
      <c r="D205" t="s">
        <v>5</v>
      </c>
    </row>
    <row r="206" spans="1:4" x14ac:dyDescent="0.3">
      <c r="A206" t="s">
        <v>13</v>
      </c>
      <c r="B206">
        <v>15700</v>
      </c>
      <c r="C206">
        <v>2004</v>
      </c>
      <c r="D206" t="s">
        <v>5</v>
      </c>
    </row>
    <row r="207" spans="1:4" x14ac:dyDescent="0.3">
      <c r="A207" t="s">
        <v>13</v>
      </c>
      <c r="B207">
        <v>21176</v>
      </c>
      <c r="C207">
        <v>2005</v>
      </c>
      <c r="D207" t="s">
        <v>5</v>
      </c>
    </row>
    <row r="208" spans="1:4" x14ac:dyDescent="0.3">
      <c r="A208" t="s">
        <v>13</v>
      </c>
      <c r="B208">
        <v>23297</v>
      </c>
      <c r="C208">
        <v>2006</v>
      </c>
      <c r="D208" t="s">
        <v>5</v>
      </c>
    </row>
    <row r="209" spans="1:4" x14ac:dyDescent="0.3">
      <c r="A209" t="s">
        <v>13</v>
      </c>
      <c r="B209">
        <v>27568</v>
      </c>
      <c r="C209">
        <v>2007</v>
      </c>
      <c r="D209" t="s">
        <v>5</v>
      </c>
    </row>
    <row r="210" spans="1:4" x14ac:dyDescent="0.3">
      <c r="A210" t="s">
        <v>13</v>
      </c>
      <c r="B210">
        <v>32946</v>
      </c>
      <c r="C210">
        <v>2008</v>
      </c>
      <c r="D210" t="s">
        <v>5</v>
      </c>
    </row>
    <row r="211" spans="1:4" x14ac:dyDescent="0.3">
      <c r="A211" t="s">
        <v>13</v>
      </c>
      <c r="B211">
        <v>38117</v>
      </c>
      <c r="C211">
        <v>2009</v>
      </c>
      <c r="D211" t="s">
        <v>5</v>
      </c>
    </row>
    <row r="212" spans="1:4" x14ac:dyDescent="0.3">
      <c r="A212" t="s">
        <v>13</v>
      </c>
      <c r="B212">
        <v>44271</v>
      </c>
      <c r="C212">
        <v>2010</v>
      </c>
      <c r="D212" t="s">
        <v>5</v>
      </c>
    </row>
    <row r="213" spans="1:4" x14ac:dyDescent="0.3">
      <c r="A213" t="s">
        <v>13</v>
      </c>
      <c r="B213">
        <v>42918</v>
      </c>
      <c r="C213">
        <v>2011</v>
      </c>
      <c r="D213" t="s">
        <v>5</v>
      </c>
    </row>
    <row r="214" spans="1:4" x14ac:dyDescent="0.3">
      <c r="A214" t="s">
        <v>13</v>
      </c>
      <c r="B214">
        <v>49472</v>
      </c>
      <c r="C214">
        <v>2012</v>
      </c>
      <c r="D214" t="s">
        <v>5</v>
      </c>
    </row>
    <row r="215" spans="1:4" x14ac:dyDescent="0.3">
      <c r="A215" t="s">
        <v>13</v>
      </c>
      <c r="B215">
        <v>55646</v>
      </c>
      <c r="C215">
        <v>2013</v>
      </c>
      <c r="D215" t="s">
        <v>5</v>
      </c>
    </row>
    <row r="216" spans="1:4" x14ac:dyDescent="0.3">
      <c r="A216" t="s">
        <v>13</v>
      </c>
      <c r="B216">
        <v>52013</v>
      </c>
      <c r="C216">
        <v>2014</v>
      </c>
      <c r="D216" t="s">
        <v>5</v>
      </c>
    </row>
    <row r="217" spans="1:4" x14ac:dyDescent="0.3">
      <c r="A217" t="s">
        <v>13</v>
      </c>
      <c r="B217">
        <v>49325</v>
      </c>
      <c r="C217">
        <v>2015</v>
      </c>
      <c r="D217" t="s">
        <v>5</v>
      </c>
    </row>
    <row r="218" spans="1:4" x14ac:dyDescent="0.3">
      <c r="A218" t="s">
        <v>13</v>
      </c>
      <c r="B218">
        <v>48905</v>
      </c>
      <c r="C218">
        <v>2016</v>
      </c>
      <c r="D218" t="s">
        <v>5</v>
      </c>
    </row>
    <row r="219" spans="1:4" x14ac:dyDescent="0.3">
      <c r="A219" t="s">
        <v>13</v>
      </c>
      <c r="B219">
        <v>49127</v>
      </c>
      <c r="C219">
        <v>2017</v>
      </c>
      <c r="D219" t="s">
        <v>5</v>
      </c>
    </row>
    <row r="220" spans="1:4" x14ac:dyDescent="0.3">
      <c r="A220" t="s">
        <v>13</v>
      </c>
      <c r="B220">
        <v>50896</v>
      </c>
      <c r="C220">
        <v>2018</v>
      </c>
      <c r="D220" t="s">
        <v>5</v>
      </c>
    </row>
    <row r="221" spans="1:4" x14ac:dyDescent="0.3">
      <c r="A221" t="s">
        <v>13</v>
      </c>
      <c r="B221">
        <v>55647</v>
      </c>
      <c r="C221">
        <v>2019</v>
      </c>
      <c r="D221" t="s">
        <v>5</v>
      </c>
    </row>
    <row r="222" spans="1:4" x14ac:dyDescent="0.3">
      <c r="A222" t="s">
        <v>13</v>
      </c>
      <c r="B222">
        <v>56444</v>
      </c>
      <c r="C222">
        <v>2020</v>
      </c>
      <c r="D222" t="s">
        <v>5</v>
      </c>
    </row>
    <row r="223" spans="1:4" x14ac:dyDescent="0.3">
      <c r="A223" t="s">
        <v>13</v>
      </c>
      <c r="B223">
        <v>62061</v>
      </c>
      <c r="C223">
        <v>2021</v>
      </c>
      <c r="D223" t="s">
        <v>5</v>
      </c>
    </row>
    <row r="224" spans="1:4" x14ac:dyDescent="0.3">
      <c r="A224" t="s">
        <v>13</v>
      </c>
      <c r="B224">
        <v>62784</v>
      </c>
      <c r="C224">
        <v>2022</v>
      </c>
      <c r="D224" t="s">
        <v>5</v>
      </c>
    </row>
    <row r="225" spans="1:4" x14ac:dyDescent="0.3">
      <c r="A225" t="s">
        <v>13</v>
      </c>
      <c r="B225">
        <v>64275</v>
      </c>
      <c r="C225">
        <v>2023</v>
      </c>
      <c r="D225" t="s">
        <v>5</v>
      </c>
    </row>
    <row r="226" spans="1:4" x14ac:dyDescent="0.3">
      <c r="A226" t="s">
        <v>13</v>
      </c>
      <c r="B226">
        <v>62089</v>
      </c>
      <c r="C226">
        <v>2024</v>
      </c>
      <c r="D226" t="s">
        <v>5</v>
      </c>
    </row>
    <row r="227" spans="1:4" x14ac:dyDescent="0.3">
      <c r="A227" t="s">
        <v>14</v>
      </c>
      <c r="B227">
        <v>14</v>
      </c>
      <c r="C227">
        <v>2000</v>
      </c>
      <c r="D227" t="s">
        <v>5</v>
      </c>
    </row>
    <row r="228" spans="1:4" x14ac:dyDescent="0.3">
      <c r="A228" t="s">
        <v>14</v>
      </c>
      <c r="B228">
        <v>17</v>
      </c>
      <c r="C228">
        <v>2001</v>
      </c>
      <c r="D228" t="s">
        <v>5</v>
      </c>
    </row>
    <row r="229" spans="1:4" x14ac:dyDescent="0.3">
      <c r="A229" t="s">
        <v>14</v>
      </c>
      <c r="B229">
        <v>18</v>
      </c>
      <c r="C229">
        <v>2002</v>
      </c>
      <c r="D229" t="s">
        <v>5</v>
      </c>
    </row>
    <row r="230" spans="1:4" x14ac:dyDescent="0.3">
      <c r="A230" t="s">
        <v>14</v>
      </c>
      <c r="B230">
        <v>20</v>
      </c>
      <c r="C230">
        <v>2003</v>
      </c>
      <c r="D230" t="s">
        <v>5</v>
      </c>
    </row>
    <row r="231" spans="1:4" x14ac:dyDescent="0.3">
      <c r="A231" t="s">
        <v>14</v>
      </c>
      <c r="B231">
        <v>23</v>
      </c>
      <c r="C231">
        <v>2004</v>
      </c>
      <c r="D231" t="s">
        <v>5</v>
      </c>
    </row>
    <row r="232" spans="1:4" x14ac:dyDescent="0.3">
      <c r="A232" t="s">
        <v>14</v>
      </c>
      <c r="B232">
        <v>47</v>
      </c>
      <c r="C232">
        <v>2005</v>
      </c>
      <c r="D232" t="s">
        <v>5</v>
      </c>
    </row>
    <row r="233" spans="1:4" x14ac:dyDescent="0.3">
      <c r="A233" t="s">
        <v>14</v>
      </c>
      <c r="B233">
        <v>124</v>
      </c>
      <c r="C233">
        <v>2006</v>
      </c>
      <c r="D233" t="s">
        <v>5</v>
      </c>
    </row>
    <row r="234" spans="1:4" x14ac:dyDescent="0.3">
      <c r="A234" t="s">
        <v>14</v>
      </c>
      <c r="B234">
        <v>507</v>
      </c>
      <c r="C234">
        <v>2007</v>
      </c>
      <c r="D234" t="s">
        <v>5</v>
      </c>
    </row>
    <row r="235" spans="1:4" x14ac:dyDescent="0.3">
      <c r="A235" t="s">
        <v>14</v>
      </c>
      <c r="B235">
        <v>2562</v>
      </c>
      <c r="C235">
        <v>2008</v>
      </c>
      <c r="D235" t="s">
        <v>5</v>
      </c>
    </row>
    <row r="236" spans="1:4" x14ac:dyDescent="0.3">
      <c r="A236" t="s">
        <v>14</v>
      </c>
      <c r="B236">
        <v>5961</v>
      </c>
      <c r="C236">
        <v>2009</v>
      </c>
      <c r="D236" t="s">
        <v>5</v>
      </c>
    </row>
    <row r="237" spans="1:4" x14ac:dyDescent="0.3">
      <c r="A237" t="s">
        <v>14</v>
      </c>
      <c r="B237">
        <v>6425</v>
      </c>
      <c r="C237">
        <v>2010</v>
      </c>
      <c r="D237" t="s">
        <v>5</v>
      </c>
    </row>
    <row r="238" spans="1:4" x14ac:dyDescent="0.3">
      <c r="A238" t="s">
        <v>14</v>
      </c>
      <c r="B238">
        <v>7440</v>
      </c>
      <c r="C238">
        <v>2011</v>
      </c>
      <c r="D238" t="s">
        <v>5</v>
      </c>
    </row>
    <row r="239" spans="1:4" x14ac:dyDescent="0.3">
      <c r="A239" t="s">
        <v>14</v>
      </c>
      <c r="B239">
        <v>8192</v>
      </c>
      <c r="C239">
        <v>2012</v>
      </c>
      <c r="D239" t="s">
        <v>5</v>
      </c>
    </row>
    <row r="240" spans="1:4" x14ac:dyDescent="0.3">
      <c r="A240" t="s">
        <v>14</v>
      </c>
      <c r="B240">
        <v>8326</v>
      </c>
      <c r="C240">
        <v>2013</v>
      </c>
      <c r="D240" t="s">
        <v>5</v>
      </c>
    </row>
    <row r="241" spans="1:4" x14ac:dyDescent="0.3">
      <c r="A241" t="s">
        <v>14</v>
      </c>
      <c r="B241">
        <v>8217</v>
      </c>
      <c r="C241">
        <v>2014</v>
      </c>
      <c r="D241" t="s">
        <v>5</v>
      </c>
    </row>
    <row r="242" spans="1:4" x14ac:dyDescent="0.3">
      <c r="A242" t="s">
        <v>14</v>
      </c>
      <c r="B242">
        <v>8266</v>
      </c>
      <c r="C242">
        <v>2015</v>
      </c>
      <c r="D242" t="s">
        <v>5</v>
      </c>
    </row>
    <row r="243" spans="1:4" x14ac:dyDescent="0.3">
      <c r="A243" t="s">
        <v>14</v>
      </c>
      <c r="B243">
        <v>8063</v>
      </c>
      <c r="C243">
        <v>2016</v>
      </c>
      <c r="D243" t="s">
        <v>5</v>
      </c>
    </row>
    <row r="244" spans="1:4" x14ac:dyDescent="0.3">
      <c r="A244" t="s">
        <v>14</v>
      </c>
      <c r="B244">
        <v>8514</v>
      </c>
      <c r="C244">
        <v>2017</v>
      </c>
      <c r="D244" t="s">
        <v>5</v>
      </c>
    </row>
    <row r="245" spans="1:4" x14ac:dyDescent="0.3">
      <c r="A245" t="s">
        <v>14</v>
      </c>
      <c r="B245">
        <v>7877</v>
      </c>
      <c r="C245">
        <v>2018</v>
      </c>
      <c r="D245" t="s">
        <v>5</v>
      </c>
    </row>
    <row r="246" spans="1:4" x14ac:dyDescent="0.3">
      <c r="A246" t="s">
        <v>14</v>
      </c>
      <c r="B246">
        <v>9420</v>
      </c>
      <c r="C246">
        <v>2019</v>
      </c>
      <c r="D246" t="s">
        <v>5</v>
      </c>
    </row>
    <row r="247" spans="1:4" x14ac:dyDescent="0.3">
      <c r="A247" t="s">
        <v>14</v>
      </c>
      <c r="B247">
        <v>15675</v>
      </c>
      <c r="C247">
        <v>2020</v>
      </c>
      <c r="D247" t="s">
        <v>5</v>
      </c>
    </row>
    <row r="248" spans="1:4" x14ac:dyDescent="0.3">
      <c r="A248" t="s">
        <v>14</v>
      </c>
      <c r="B248">
        <v>21922</v>
      </c>
      <c r="C248">
        <v>2021</v>
      </c>
      <c r="D248" t="s">
        <v>5</v>
      </c>
    </row>
    <row r="249" spans="1:4" x14ac:dyDescent="0.3">
      <c r="A249" t="s">
        <v>14</v>
      </c>
      <c r="B249">
        <v>31187</v>
      </c>
      <c r="C249">
        <v>2022</v>
      </c>
      <c r="D249" t="s">
        <v>5</v>
      </c>
    </row>
    <row r="250" spans="1:4" x14ac:dyDescent="0.3">
      <c r="A250" t="s">
        <v>14</v>
      </c>
      <c r="B250">
        <v>43421</v>
      </c>
      <c r="C250">
        <v>2023</v>
      </c>
      <c r="D250" t="s">
        <v>5</v>
      </c>
    </row>
    <row r="251" spans="1:4" x14ac:dyDescent="0.3">
      <c r="A251" t="s">
        <v>14</v>
      </c>
      <c r="B251">
        <v>53752</v>
      </c>
      <c r="C251">
        <v>2024</v>
      </c>
      <c r="D251" t="s">
        <v>5</v>
      </c>
    </row>
    <row r="252" spans="1:4" x14ac:dyDescent="0.3">
      <c r="A252" t="s">
        <v>15</v>
      </c>
      <c r="C252">
        <v>2000</v>
      </c>
      <c r="D252" t="s">
        <v>5</v>
      </c>
    </row>
    <row r="253" spans="1:4" x14ac:dyDescent="0.3">
      <c r="A253" t="s">
        <v>15</v>
      </c>
      <c r="C253">
        <v>2001</v>
      </c>
      <c r="D253" t="s">
        <v>5</v>
      </c>
    </row>
    <row r="254" spans="1:4" x14ac:dyDescent="0.3">
      <c r="A254" t="s">
        <v>15</v>
      </c>
      <c r="C254">
        <v>2002</v>
      </c>
      <c r="D254" t="s">
        <v>5</v>
      </c>
    </row>
    <row r="255" spans="1:4" x14ac:dyDescent="0.3">
      <c r="A255" t="s">
        <v>15</v>
      </c>
      <c r="C255">
        <v>2003</v>
      </c>
      <c r="D255" t="s">
        <v>5</v>
      </c>
    </row>
    <row r="256" spans="1:4" x14ac:dyDescent="0.3">
      <c r="A256" t="s">
        <v>15</v>
      </c>
      <c r="C256">
        <v>2004</v>
      </c>
      <c r="D256" t="s">
        <v>5</v>
      </c>
    </row>
    <row r="257" spans="1:4" x14ac:dyDescent="0.3">
      <c r="A257" t="s">
        <v>15</v>
      </c>
      <c r="C257">
        <v>2005</v>
      </c>
      <c r="D257" t="s">
        <v>5</v>
      </c>
    </row>
    <row r="258" spans="1:4" x14ac:dyDescent="0.3">
      <c r="A258" t="s">
        <v>15</v>
      </c>
      <c r="B258">
        <v>0</v>
      </c>
      <c r="C258">
        <v>2006</v>
      </c>
      <c r="D258" t="s">
        <v>5</v>
      </c>
    </row>
    <row r="259" spans="1:4" x14ac:dyDescent="0.3">
      <c r="A259" t="s">
        <v>15</v>
      </c>
      <c r="B259">
        <v>8</v>
      </c>
      <c r="C259">
        <v>2007</v>
      </c>
      <c r="D259" t="s">
        <v>5</v>
      </c>
    </row>
    <row r="260" spans="1:4" x14ac:dyDescent="0.3">
      <c r="A260" t="s">
        <v>15</v>
      </c>
      <c r="B260">
        <v>16</v>
      </c>
      <c r="C260">
        <v>2008</v>
      </c>
      <c r="D260" t="s">
        <v>5</v>
      </c>
    </row>
    <row r="261" spans="1:4" x14ac:dyDescent="0.3">
      <c r="A261" t="s">
        <v>15</v>
      </c>
      <c r="B261">
        <v>103</v>
      </c>
      <c r="C261">
        <v>2009</v>
      </c>
      <c r="D261" t="s">
        <v>5</v>
      </c>
    </row>
    <row r="262" spans="1:4" x14ac:dyDescent="0.3">
      <c r="A262" t="s">
        <v>15</v>
      </c>
      <c r="B262">
        <v>761</v>
      </c>
      <c r="C262">
        <v>2010</v>
      </c>
      <c r="D262" t="s">
        <v>5</v>
      </c>
    </row>
    <row r="263" spans="1:4" x14ac:dyDescent="0.3">
      <c r="A263" t="s">
        <v>15</v>
      </c>
      <c r="B263">
        <v>1959</v>
      </c>
      <c r="C263">
        <v>2011</v>
      </c>
      <c r="D263" t="s">
        <v>5</v>
      </c>
    </row>
    <row r="264" spans="1:4" x14ac:dyDescent="0.3">
      <c r="A264" t="s">
        <v>15</v>
      </c>
      <c r="B264">
        <v>3775</v>
      </c>
      <c r="C264">
        <v>2012</v>
      </c>
      <c r="D264" t="s">
        <v>5</v>
      </c>
    </row>
    <row r="265" spans="1:4" x14ac:dyDescent="0.3">
      <c r="A265" t="s">
        <v>15</v>
      </c>
      <c r="B265">
        <v>4769</v>
      </c>
      <c r="C265">
        <v>2013</v>
      </c>
      <c r="D265" t="s">
        <v>5</v>
      </c>
    </row>
    <row r="266" spans="1:4" x14ac:dyDescent="0.3">
      <c r="A266" t="s">
        <v>15</v>
      </c>
      <c r="B266">
        <v>5454</v>
      </c>
      <c r="C266">
        <v>2014</v>
      </c>
      <c r="D266" t="s">
        <v>5</v>
      </c>
    </row>
    <row r="267" spans="1:4" x14ac:dyDescent="0.3">
      <c r="A267" t="s">
        <v>15</v>
      </c>
      <c r="B267">
        <v>5593</v>
      </c>
      <c r="C267">
        <v>2015</v>
      </c>
      <c r="D267" t="s">
        <v>5</v>
      </c>
    </row>
    <row r="268" spans="1:4" x14ac:dyDescent="0.3">
      <c r="A268" t="s">
        <v>15</v>
      </c>
      <c r="B268">
        <v>5579</v>
      </c>
      <c r="C268">
        <v>2016</v>
      </c>
      <c r="D268" t="s">
        <v>5</v>
      </c>
    </row>
    <row r="269" spans="1:4" x14ac:dyDescent="0.3">
      <c r="A269" t="s">
        <v>15</v>
      </c>
      <c r="B269">
        <v>5883</v>
      </c>
      <c r="C269">
        <v>2017</v>
      </c>
      <c r="D269" t="s">
        <v>5</v>
      </c>
    </row>
    <row r="270" spans="1:4" x14ac:dyDescent="0.3">
      <c r="A270" t="s">
        <v>15</v>
      </c>
      <c r="B270">
        <v>4867</v>
      </c>
      <c r="C270">
        <v>2018</v>
      </c>
      <c r="D270" t="s">
        <v>5</v>
      </c>
    </row>
    <row r="271" spans="1:4" x14ac:dyDescent="0.3">
      <c r="A271" t="s">
        <v>15</v>
      </c>
      <c r="B271">
        <v>5683</v>
      </c>
      <c r="C271">
        <v>2019</v>
      </c>
      <c r="D271" t="s">
        <v>5</v>
      </c>
    </row>
    <row r="272" spans="1:4" x14ac:dyDescent="0.3">
      <c r="A272" t="s">
        <v>15</v>
      </c>
      <c r="B272">
        <v>4992</v>
      </c>
      <c r="C272">
        <v>2020</v>
      </c>
      <c r="D272" t="s">
        <v>5</v>
      </c>
    </row>
    <row r="273" spans="1:4" x14ac:dyDescent="0.3">
      <c r="A273" t="s">
        <v>15</v>
      </c>
      <c r="B273">
        <v>5176</v>
      </c>
      <c r="C273">
        <v>2021</v>
      </c>
      <c r="D273" t="s">
        <v>5</v>
      </c>
    </row>
    <row r="274" spans="1:4" x14ac:dyDescent="0.3">
      <c r="A274" t="s">
        <v>15</v>
      </c>
      <c r="B274">
        <v>4536</v>
      </c>
      <c r="C274">
        <v>2022</v>
      </c>
      <c r="D274" t="s">
        <v>5</v>
      </c>
    </row>
    <row r="275" spans="1:4" x14ac:dyDescent="0.3">
      <c r="A275" t="s">
        <v>15</v>
      </c>
      <c r="B275">
        <v>5165</v>
      </c>
      <c r="C275">
        <v>2023</v>
      </c>
      <c r="D275" t="s">
        <v>5</v>
      </c>
    </row>
    <row r="276" spans="1:4" x14ac:dyDescent="0.3">
      <c r="A276" t="s">
        <v>15</v>
      </c>
      <c r="B276">
        <v>4540</v>
      </c>
      <c r="C276">
        <v>2024</v>
      </c>
      <c r="D276" t="s">
        <v>5</v>
      </c>
    </row>
    <row r="277" spans="1:4" x14ac:dyDescent="0.3">
      <c r="A277" t="s">
        <v>16</v>
      </c>
      <c r="C277">
        <v>2000</v>
      </c>
      <c r="D277" t="s">
        <v>5</v>
      </c>
    </row>
    <row r="278" spans="1:4" x14ac:dyDescent="0.3">
      <c r="A278" t="s">
        <v>16</v>
      </c>
      <c r="C278">
        <v>2001</v>
      </c>
      <c r="D278" t="s">
        <v>5</v>
      </c>
    </row>
    <row r="279" spans="1:4" x14ac:dyDescent="0.3">
      <c r="A279" t="s">
        <v>16</v>
      </c>
      <c r="C279">
        <v>2002</v>
      </c>
      <c r="D279" t="s">
        <v>5</v>
      </c>
    </row>
    <row r="280" spans="1:4" x14ac:dyDescent="0.3">
      <c r="A280" t="s">
        <v>16</v>
      </c>
      <c r="C280">
        <v>2003</v>
      </c>
      <c r="D280" t="s">
        <v>5</v>
      </c>
    </row>
    <row r="281" spans="1:4" x14ac:dyDescent="0.3">
      <c r="A281" t="s">
        <v>16</v>
      </c>
      <c r="B281">
        <v>2963</v>
      </c>
      <c r="C281">
        <v>2004</v>
      </c>
      <c r="D281" t="s">
        <v>5</v>
      </c>
    </row>
    <row r="282" spans="1:4" x14ac:dyDescent="0.3">
      <c r="A282" t="s">
        <v>16</v>
      </c>
      <c r="B282">
        <v>4994</v>
      </c>
      <c r="C282">
        <v>2005</v>
      </c>
      <c r="D282" t="s">
        <v>5</v>
      </c>
    </row>
    <row r="283" spans="1:4" x14ac:dyDescent="0.3">
      <c r="A283" t="s">
        <v>16</v>
      </c>
      <c r="B283">
        <v>329</v>
      </c>
      <c r="C283">
        <v>2006</v>
      </c>
      <c r="D283" t="s">
        <v>5</v>
      </c>
    </row>
    <row r="284" spans="1:4" x14ac:dyDescent="0.3">
      <c r="A284" t="s">
        <v>16</v>
      </c>
      <c r="B284">
        <v>324</v>
      </c>
      <c r="C284">
        <v>2007</v>
      </c>
      <c r="D284" t="s">
        <v>5</v>
      </c>
    </row>
    <row r="285" spans="1:4" x14ac:dyDescent="0.3">
      <c r="A285" t="s">
        <v>16</v>
      </c>
      <c r="B285">
        <v>307</v>
      </c>
      <c r="C285">
        <v>2008</v>
      </c>
      <c r="D285" t="s">
        <v>5</v>
      </c>
    </row>
    <row r="286" spans="1:4" x14ac:dyDescent="0.3">
      <c r="A286" t="s">
        <v>16</v>
      </c>
      <c r="B286">
        <v>341</v>
      </c>
      <c r="C286">
        <v>2009</v>
      </c>
      <c r="D286" t="s">
        <v>5</v>
      </c>
    </row>
    <row r="287" spans="1:4" x14ac:dyDescent="0.3">
      <c r="A287" t="s">
        <v>16</v>
      </c>
      <c r="B287">
        <v>159</v>
      </c>
      <c r="C287">
        <v>2010</v>
      </c>
      <c r="D287" t="s">
        <v>5</v>
      </c>
    </row>
    <row r="288" spans="1:4" x14ac:dyDescent="0.3">
      <c r="A288" t="s">
        <v>16</v>
      </c>
      <c r="B288">
        <v>171</v>
      </c>
      <c r="C288">
        <v>2011</v>
      </c>
      <c r="D288" t="s">
        <v>5</v>
      </c>
    </row>
    <row r="289" spans="1:4" x14ac:dyDescent="0.3">
      <c r="A289" t="s">
        <v>16</v>
      </c>
      <c r="B289">
        <v>175</v>
      </c>
      <c r="C289">
        <v>2012</v>
      </c>
      <c r="D289" t="s">
        <v>5</v>
      </c>
    </row>
    <row r="290" spans="1:4" x14ac:dyDescent="0.3">
      <c r="A290" t="s">
        <v>16</v>
      </c>
      <c r="B290">
        <v>0</v>
      </c>
      <c r="C290">
        <v>2013</v>
      </c>
      <c r="D290" t="s">
        <v>5</v>
      </c>
    </row>
    <row r="291" spans="1:4" x14ac:dyDescent="0.3">
      <c r="A291" t="s">
        <v>16</v>
      </c>
      <c r="C291">
        <v>2014</v>
      </c>
      <c r="D291" t="s">
        <v>5</v>
      </c>
    </row>
    <row r="292" spans="1:4" x14ac:dyDescent="0.3">
      <c r="A292" t="s">
        <v>16</v>
      </c>
      <c r="B292">
        <v>216</v>
      </c>
      <c r="C292">
        <v>2015</v>
      </c>
      <c r="D292" t="s">
        <v>5</v>
      </c>
    </row>
    <row r="293" spans="1:4" x14ac:dyDescent="0.3">
      <c r="A293" t="s">
        <v>16</v>
      </c>
      <c r="B293">
        <v>108</v>
      </c>
      <c r="C293">
        <v>2016</v>
      </c>
      <c r="D293" t="s">
        <v>5</v>
      </c>
    </row>
    <row r="294" spans="1:4" x14ac:dyDescent="0.3">
      <c r="A294" t="s">
        <v>16</v>
      </c>
      <c r="B294">
        <v>91</v>
      </c>
      <c r="C294">
        <v>2017</v>
      </c>
      <c r="D294" t="s">
        <v>5</v>
      </c>
    </row>
    <row r="295" spans="1:4" x14ac:dyDescent="0.3">
      <c r="A295" t="s">
        <v>16</v>
      </c>
      <c r="B295">
        <v>94</v>
      </c>
      <c r="C295">
        <v>2018</v>
      </c>
      <c r="D295" t="s">
        <v>5</v>
      </c>
    </row>
    <row r="296" spans="1:4" x14ac:dyDescent="0.3">
      <c r="A296" t="s">
        <v>16</v>
      </c>
      <c r="B296">
        <v>139</v>
      </c>
      <c r="C296">
        <v>2019</v>
      </c>
      <c r="D296" t="s">
        <v>5</v>
      </c>
    </row>
    <row r="297" spans="1:4" x14ac:dyDescent="0.3">
      <c r="A297" t="s">
        <v>16</v>
      </c>
      <c r="B297">
        <v>160</v>
      </c>
      <c r="C297">
        <v>2020</v>
      </c>
      <c r="D297" t="s">
        <v>5</v>
      </c>
    </row>
    <row r="298" spans="1:4" x14ac:dyDescent="0.3">
      <c r="A298" t="s">
        <v>16</v>
      </c>
      <c r="B298">
        <v>280</v>
      </c>
      <c r="C298">
        <v>2021</v>
      </c>
      <c r="D298" t="s">
        <v>5</v>
      </c>
    </row>
    <row r="299" spans="1:4" x14ac:dyDescent="0.3">
      <c r="A299" t="s">
        <v>16</v>
      </c>
      <c r="B299">
        <v>282</v>
      </c>
      <c r="C299">
        <v>2022</v>
      </c>
      <c r="D299" t="s">
        <v>5</v>
      </c>
    </row>
    <row r="300" spans="1:4" x14ac:dyDescent="0.3">
      <c r="A300" t="s">
        <v>16</v>
      </c>
      <c r="B300">
        <v>273</v>
      </c>
      <c r="C300">
        <v>2023</v>
      </c>
      <c r="D300" t="s">
        <v>5</v>
      </c>
    </row>
    <row r="301" spans="1:4" x14ac:dyDescent="0.3">
      <c r="A301" t="s">
        <v>16</v>
      </c>
      <c r="B301">
        <v>244</v>
      </c>
      <c r="C301">
        <v>2024</v>
      </c>
      <c r="D301" t="s">
        <v>5</v>
      </c>
    </row>
  </sheetData>
  <hyperlinks>
    <hyperlink ref="G2" r:id="rId1" display="https://www.iea.org/countries/spain/electricity" xr:uid="{B18E151C-682D-4171-A034-8BFF583880DF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DE7F-90D3-4824-8130-ABEE2C3BAACE}">
  <dimension ref="A1:AH51"/>
  <sheetViews>
    <sheetView workbookViewId="0">
      <selection activeCell="I3" sqref="I3:AH5"/>
    </sheetView>
  </sheetViews>
  <sheetFormatPr defaultRowHeight="14.4" x14ac:dyDescent="0.3"/>
  <cols>
    <col min="1" max="1" width="20.6640625" customWidth="1"/>
  </cols>
  <sheetData>
    <row r="1" spans="1:34" x14ac:dyDescent="0.3">
      <c r="A1" t="s">
        <v>19</v>
      </c>
      <c r="B1" t="s">
        <v>1</v>
      </c>
      <c r="C1" t="s">
        <v>2</v>
      </c>
      <c r="D1" t="s">
        <v>3</v>
      </c>
    </row>
    <row r="2" spans="1:34" x14ac:dyDescent="0.3">
      <c r="A2" t="s">
        <v>20</v>
      </c>
      <c r="B2">
        <v>12268</v>
      </c>
      <c r="C2">
        <v>2000</v>
      </c>
      <c r="D2" t="s">
        <v>22</v>
      </c>
      <c r="J2">
        <v>2000</v>
      </c>
      <c r="K2">
        <v>2001</v>
      </c>
      <c r="L2">
        <v>2002</v>
      </c>
      <c r="M2">
        <v>2003</v>
      </c>
      <c r="N2">
        <v>2004</v>
      </c>
      <c r="O2">
        <v>2005</v>
      </c>
      <c r="P2">
        <v>2006</v>
      </c>
      <c r="Q2">
        <v>2007</v>
      </c>
      <c r="R2">
        <v>2008</v>
      </c>
      <c r="S2">
        <v>2009</v>
      </c>
      <c r="T2">
        <v>2010</v>
      </c>
      <c r="U2">
        <v>2011</v>
      </c>
      <c r="V2">
        <v>2012</v>
      </c>
      <c r="W2">
        <v>2013</v>
      </c>
      <c r="X2">
        <v>2014</v>
      </c>
      <c r="Y2">
        <v>2015</v>
      </c>
      <c r="Z2">
        <v>2016</v>
      </c>
      <c r="AA2">
        <v>2017</v>
      </c>
      <c r="AB2">
        <v>2018</v>
      </c>
      <c r="AC2">
        <v>2019</v>
      </c>
      <c r="AD2">
        <v>2020</v>
      </c>
      <c r="AE2">
        <v>2021</v>
      </c>
      <c r="AF2">
        <v>2022</v>
      </c>
      <c r="AG2">
        <v>2023</v>
      </c>
      <c r="AH2">
        <v>2024</v>
      </c>
    </row>
    <row r="3" spans="1:34" x14ac:dyDescent="0.3">
      <c r="A3" t="s">
        <v>20</v>
      </c>
      <c r="B3">
        <v>10177</v>
      </c>
      <c r="C3">
        <v>2001</v>
      </c>
      <c r="D3" t="s">
        <v>22</v>
      </c>
      <c r="I3" t="s">
        <v>20</v>
      </c>
      <c r="J3">
        <f>SUMIFS($B:$B,$A:$A,$I3,$C:$C,J$2)</f>
        <v>12268</v>
      </c>
      <c r="K3">
        <f t="shared" ref="K3:AH4" si="0">SUMIFS($B:$B,$A:$A,$I3,$C:$C,K$2)</f>
        <v>10177</v>
      </c>
      <c r="L3">
        <f t="shared" si="0"/>
        <v>12504</v>
      </c>
      <c r="M3">
        <f t="shared" si="0"/>
        <v>9520</v>
      </c>
      <c r="N3">
        <f t="shared" si="0"/>
        <v>8111</v>
      </c>
      <c r="O3">
        <f t="shared" si="0"/>
        <v>10212</v>
      </c>
      <c r="P3">
        <f t="shared" si="0"/>
        <v>9093</v>
      </c>
      <c r="Q3">
        <f t="shared" si="0"/>
        <v>8773</v>
      </c>
      <c r="R3">
        <f t="shared" si="0"/>
        <v>5881</v>
      </c>
      <c r="S3">
        <f t="shared" si="0"/>
        <v>6751</v>
      </c>
      <c r="T3">
        <f t="shared" si="0"/>
        <v>5206</v>
      </c>
      <c r="U3">
        <f t="shared" si="0"/>
        <v>7932</v>
      </c>
      <c r="V3">
        <f t="shared" si="0"/>
        <v>7787</v>
      </c>
      <c r="W3">
        <f t="shared" si="0"/>
        <v>9887</v>
      </c>
      <c r="X3">
        <f t="shared" si="0"/>
        <v>12310</v>
      </c>
      <c r="Y3">
        <f t="shared" si="0"/>
        <v>14956</v>
      </c>
      <c r="Z3">
        <f t="shared" si="0"/>
        <v>21845</v>
      </c>
      <c r="AA3">
        <f t="shared" si="0"/>
        <v>23762</v>
      </c>
      <c r="AB3">
        <f t="shared" si="0"/>
        <v>24018</v>
      </c>
      <c r="AC3">
        <f t="shared" si="0"/>
        <v>18720</v>
      </c>
      <c r="AD3">
        <f t="shared" si="0"/>
        <v>17928</v>
      </c>
      <c r="AE3">
        <f t="shared" si="0"/>
        <v>17411</v>
      </c>
      <c r="AF3">
        <f t="shared" si="0"/>
        <v>8031</v>
      </c>
      <c r="AG3">
        <f t="shared" si="0"/>
        <v>11316</v>
      </c>
      <c r="AH3">
        <f t="shared" si="0"/>
        <v>14354</v>
      </c>
    </row>
    <row r="4" spans="1:34" x14ac:dyDescent="0.3">
      <c r="A4" t="s">
        <v>20</v>
      </c>
      <c r="B4">
        <v>12504</v>
      </c>
      <c r="C4">
        <v>2002</v>
      </c>
      <c r="D4" t="s">
        <v>22</v>
      </c>
      <c r="I4" t="s">
        <v>21</v>
      </c>
      <c r="J4">
        <f>SUMIFS($B:$B,$A:$A,$I4,$C:$C,J$2)</f>
        <v>-7827</v>
      </c>
      <c r="K4">
        <f t="shared" si="0"/>
        <v>-6727</v>
      </c>
      <c r="L4">
        <f t="shared" si="0"/>
        <v>-7175</v>
      </c>
      <c r="M4">
        <f t="shared" si="0"/>
        <v>-8257</v>
      </c>
      <c r="N4">
        <f t="shared" si="0"/>
        <v>-11139</v>
      </c>
      <c r="O4">
        <f t="shared" si="0"/>
        <v>-11555</v>
      </c>
      <c r="P4">
        <f t="shared" si="0"/>
        <v>-12373</v>
      </c>
      <c r="Q4">
        <f t="shared" si="0"/>
        <v>-14524</v>
      </c>
      <c r="R4">
        <f t="shared" si="0"/>
        <v>-16920</v>
      </c>
      <c r="S4">
        <f t="shared" si="0"/>
        <v>-14855</v>
      </c>
      <c r="T4">
        <f t="shared" si="0"/>
        <v>-13539</v>
      </c>
      <c r="U4">
        <f t="shared" si="0"/>
        <v>-14023</v>
      </c>
      <c r="V4">
        <f t="shared" si="0"/>
        <v>-18986</v>
      </c>
      <c r="W4">
        <f t="shared" si="0"/>
        <v>-16638</v>
      </c>
      <c r="X4">
        <f t="shared" si="0"/>
        <v>-15716</v>
      </c>
      <c r="Y4">
        <f t="shared" si="0"/>
        <v>-15089</v>
      </c>
      <c r="Z4">
        <f t="shared" si="0"/>
        <v>-14178</v>
      </c>
      <c r="AA4">
        <f t="shared" si="0"/>
        <v>-14593</v>
      </c>
      <c r="AB4">
        <f t="shared" si="0"/>
        <v>-12916</v>
      </c>
      <c r="AC4">
        <f t="shared" si="0"/>
        <v>-11858</v>
      </c>
      <c r="AD4">
        <f t="shared" si="0"/>
        <v>-14648</v>
      </c>
      <c r="AE4">
        <f t="shared" si="0"/>
        <v>-16558</v>
      </c>
      <c r="AF4">
        <f t="shared" si="0"/>
        <v>-27833</v>
      </c>
      <c r="AG4">
        <f t="shared" si="0"/>
        <v>-25272</v>
      </c>
      <c r="AH4">
        <f t="shared" si="0"/>
        <v>-24581</v>
      </c>
    </row>
    <row r="5" spans="1:34" x14ac:dyDescent="0.3">
      <c r="A5" t="s">
        <v>20</v>
      </c>
      <c r="B5">
        <v>9520</v>
      </c>
      <c r="C5">
        <v>2003</v>
      </c>
      <c r="D5" t="s">
        <v>22</v>
      </c>
      <c r="I5" t="s">
        <v>23</v>
      </c>
      <c r="J5">
        <f>SUM(J3,J4)</f>
        <v>4441</v>
      </c>
      <c r="K5">
        <f>SUM(K3,K4)</f>
        <v>3450</v>
      </c>
      <c r="L5">
        <f t="shared" ref="L5:AH5" si="1">SUM(L3,L4)</f>
        <v>5329</v>
      </c>
      <c r="M5">
        <f t="shared" si="1"/>
        <v>1263</v>
      </c>
      <c r="N5">
        <f t="shared" si="1"/>
        <v>-3028</v>
      </c>
      <c r="O5">
        <f t="shared" si="1"/>
        <v>-1343</v>
      </c>
      <c r="P5">
        <f t="shared" si="1"/>
        <v>-3280</v>
      </c>
      <c r="Q5">
        <f t="shared" si="1"/>
        <v>-5751</v>
      </c>
      <c r="R5">
        <f t="shared" si="1"/>
        <v>-11039</v>
      </c>
      <c r="S5">
        <f t="shared" si="1"/>
        <v>-8104</v>
      </c>
      <c r="T5">
        <f t="shared" si="1"/>
        <v>-8333</v>
      </c>
      <c r="U5">
        <f t="shared" si="1"/>
        <v>-6091</v>
      </c>
      <c r="V5">
        <f t="shared" si="1"/>
        <v>-11199</v>
      </c>
      <c r="W5">
        <f t="shared" si="1"/>
        <v>-6751</v>
      </c>
      <c r="X5">
        <f t="shared" si="1"/>
        <v>-3406</v>
      </c>
      <c r="Y5">
        <f t="shared" si="1"/>
        <v>-133</v>
      </c>
      <c r="Z5">
        <f t="shared" si="1"/>
        <v>7667</v>
      </c>
      <c r="AA5">
        <f t="shared" si="1"/>
        <v>9169</v>
      </c>
      <c r="AB5">
        <f t="shared" si="1"/>
        <v>11102</v>
      </c>
      <c r="AC5">
        <f t="shared" si="1"/>
        <v>6862</v>
      </c>
      <c r="AD5">
        <f t="shared" si="1"/>
        <v>3280</v>
      </c>
      <c r="AE5">
        <f t="shared" si="1"/>
        <v>853</v>
      </c>
      <c r="AF5">
        <f t="shared" si="1"/>
        <v>-19802</v>
      </c>
      <c r="AG5">
        <f t="shared" si="1"/>
        <v>-13956</v>
      </c>
      <c r="AH5">
        <f t="shared" si="1"/>
        <v>-10227</v>
      </c>
    </row>
    <row r="6" spans="1:34" x14ac:dyDescent="0.3">
      <c r="A6" t="s">
        <v>20</v>
      </c>
      <c r="B6">
        <v>8111</v>
      </c>
      <c r="C6">
        <v>2004</v>
      </c>
      <c r="D6" t="s">
        <v>22</v>
      </c>
    </row>
    <row r="7" spans="1:34" x14ac:dyDescent="0.3">
      <c r="A7" t="s">
        <v>20</v>
      </c>
      <c r="B7">
        <v>10212</v>
      </c>
      <c r="C7">
        <v>2005</v>
      </c>
      <c r="D7" t="s">
        <v>22</v>
      </c>
    </row>
    <row r="8" spans="1:34" x14ac:dyDescent="0.3">
      <c r="A8" t="s">
        <v>20</v>
      </c>
      <c r="B8">
        <v>9093</v>
      </c>
      <c r="C8">
        <v>2006</v>
      </c>
      <c r="D8" t="s">
        <v>22</v>
      </c>
    </row>
    <row r="9" spans="1:34" x14ac:dyDescent="0.3">
      <c r="A9" t="s">
        <v>20</v>
      </c>
      <c r="B9">
        <v>8773</v>
      </c>
      <c r="C9">
        <v>2007</v>
      </c>
      <c r="D9" t="s">
        <v>22</v>
      </c>
    </row>
    <row r="10" spans="1:34" x14ac:dyDescent="0.3">
      <c r="A10" t="s">
        <v>20</v>
      </c>
      <c r="B10">
        <v>5881</v>
      </c>
      <c r="C10">
        <v>2008</v>
      </c>
      <c r="D10" t="s">
        <v>22</v>
      </c>
    </row>
    <row r="11" spans="1:34" x14ac:dyDescent="0.3">
      <c r="A11" t="s">
        <v>20</v>
      </c>
      <c r="B11">
        <v>6751</v>
      </c>
      <c r="C11">
        <v>2009</v>
      </c>
      <c r="D11" t="s">
        <v>22</v>
      </c>
    </row>
    <row r="12" spans="1:34" x14ac:dyDescent="0.3">
      <c r="A12" t="s">
        <v>20</v>
      </c>
      <c r="B12">
        <v>5206</v>
      </c>
      <c r="C12">
        <v>2010</v>
      </c>
      <c r="D12" t="s">
        <v>22</v>
      </c>
    </row>
    <row r="13" spans="1:34" x14ac:dyDescent="0.3">
      <c r="A13" t="s">
        <v>20</v>
      </c>
      <c r="B13">
        <v>7932</v>
      </c>
      <c r="C13">
        <v>2011</v>
      </c>
      <c r="D13" t="s">
        <v>22</v>
      </c>
    </row>
    <row r="14" spans="1:34" x14ac:dyDescent="0.3">
      <c r="A14" t="s">
        <v>20</v>
      </c>
      <c r="B14">
        <v>7787</v>
      </c>
      <c r="C14">
        <v>2012</v>
      </c>
      <c r="D14" t="s">
        <v>22</v>
      </c>
    </row>
    <row r="15" spans="1:34" x14ac:dyDescent="0.3">
      <c r="A15" t="s">
        <v>20</v>
      </c>
      <c r="B15">
        <v>9887</v>
      </c>
      <c r="C15">
        <v>2013</v>
      </c>
      <c r="D15" t="s">
        <v>22</v>
      </c>
    </row>
    <row r="16" spans="1:34" x14ac:dyDescent="0.3">
      <c r="A16" t="s">
        <v>20</v>
      </c>
      <c r="B16">
        <v>12310</v>
      </c>
      <c r="C16">
        <v>2014</v>
      </c>
      <c r="D16" t="s">
        <v>22</v>
      </c>
    </row>
    <row r="17" spans="1:4" x14ac:dyDescent="0.3">
      <c r="A17" t="s">
        <v>20</v>
      </c>
      <c r="B17">
        <v>14956</v>
      </c>
      <c r="C17">
        <v>2015</v>
      </c>
      <c r="D17" t="s">
        <v>22</v>
      </c>
    </row>
    <row r="18" spans="1:4" x14ac:dyDescent="0.3">
      <c r="A18" t="s">
        <v>20</v>
      </c>
      <c r="B18">
        <v>21845</v>
      </c>
      <c r="C18">
        <v>2016</v>
      </c>
      <c r="D18" t="s">
        <v>22</v>
      </c>
    </row>
    <row r="19" spans="1:4" x14ac:dyDescent="0.3">
      <c r="A19" t="s">
        <v>20</v>
      </c>
      <c r="B19">
        <v>23762</v>
      </c>
      <c r="C19">
        <v>2017</v>
      </c>
      <c r="D19" t="s">
        <v>22</v>
      </c>
    </row>
    <row r="20" spans="1:4" x14ac:dyDescent="0.3">
      <c r="A20" t="s">
        <v>20</v>
      </c>
      <c r="B20">
        <v>24018</v>
      </c>
      <c r="C20">
        <v>2018</v>
      </c>
      <c r="D20" t="s">
        <v>22</v>
      </c>
    </row>
    <row r="21" spans="1:4" x14ac:dyDescent="0.3">
      <c r="A21" t="s">
        <v>20</v>
      </c>
      <c r="B21">
        <v>18720</v>
      </c>
      <c r="C21">
        <v>2019</v>
      </c>
      <c r="D21" t="s">
        <v>22</v>
      </c>
    </row>
    <row r="22" spans="1:4" x14ac:dyDescent="0.3">
      <c r="A22" t="s">
        <v>20</v>
      </c>
      <c r="B22">
        <v>17928</v>
      </c>
      <c r="C22">
        <v>2020</v>
      </c>
      <c r="D22" t="s">
        <v>22</v>
      </c>
    </row>
    <row r="23" spans="1:4" x14ac:dyDescent="0.3">
      <c r="A23" t="s">
        <v>20</v>
      </c>
      <c r="B23">
        <v>17411</v>
      </c>
      <c r="C23">
        <v>2021</v>
      </c>
      <c r="D23" t="s">
        <v>22</v>
      </c>
    </row>
    <row r="24" spans="1:4" x14ac:dyDescent="0.3">
      <c r="A24" t="s">
        <v>20</v>
      </c>
      <c r="B24">
        <v>8031</v>
      </c>
      <c r="C24">
        <v>2022</v>
      </c>
      <c r="D24" t="s">
        <v>22</v>
      </c>
    </row>
    <row r="25" spans="1:4" x14ac:dyDescent="0.3">
      <c r="A25" t="s">
        <v>20</v>
      </c>
      <c r="B25">
        <v>11316</v>
      </c>
      <c r="C25">
        <v>2023</v>
      </c>
      <c r="D25" t="s">
        <v>22</v>
      </c>
    </row>
    <row r="26" spans="1:4" x14ac:dyDescent="0.3">
      <c r="A26" t="s">
        <v>20</v>
      </c>
      <c r="B26">
        <v>14354</v>
      </c>
      <c r="C26">
        <v>2024</v>
      </c>
      <c r="D26" t="s">
        <v>22</v>
      </c>
    </row>
    <row r="27" spans="1:4" x14ac:dyDescent="0.3">
      <c r="A27" t="s">
        <v>21</v>
      </c>
      <c r="B27">
        <v>-7827</v>
      </c>
      <c r="C27">
        <v>2000</v>
      </c>
      <c r="D27" t="s">
        <v>22</v>
      </c>
    </row>
    <row r="28" spans="1:4" x14ac:dyDescent="0.3">
      <c r="A28" t="s">
        <v>21</v>
      </c>
      <c r="B28">
        <v>-6727</v>
      </c>
      <c r="C28">
        <v>2001</v>
      </c>
      <c r="D28" t="s">
        <v>22</v>
      </c>
    </row>
    <row r="29" spans="1:4" x14ac:dyDescent="0.3">
      <c r="A29" t="s">
        <v>21</v>
      </c>
      <c r="B29">
        <v>-7175</v>
      </c>
      <c r="C29">
        <v>2002</v>
      </c>
      <c r="D29" t="s">
        <v>22</v>
      </c>
    </row>
    <row r="30" spans="1:4" x14ac:dyDescent="0.3">
      <c r="A30" t="s">
        <v>21</v>
      </c>
      <c r="B30">
        <v>-8257</v>
      </c>
      <c r="C30">
        <v>2003</v>
      </c>
      <c r="D30" t="s">
        <v>22</v>
      </c>
    </row>
    <row r="31" spans="1:4" x14ac:dyDescent="0.3">
      <c r="A31" t="s">
        <v>21</v>
      </c>
      <c r="B31">
        <v>-11139</v>
      </c>
      <c r="C31">
        <v>2004</v>
      </c>
      <c r="D31" t="s">
        <v>22</v>
      </c>
    </row>
    <row r="32" spans="1:4" x14ac:dyDescent="0.3">
      <c r="A32" t="s">
        <v>21</v>
      </c>
      <c r="B32">
        <v>-11555</v>
      </c>
      <c r="C32">
        <v>2005</v>
      </c>
      <c r="D32" t="s">
        <v>22</v>
      </c>
    </row>
    <row r="33" spans="1:4" x14ac:dyDescent="0.3">
      <c r="A33" t="s">
        <v>21</v>
      </c>
      <c r="B33">
        <v>-12373</v>
      </c>
      <c r="C33">
        <v>2006</v>
      </c>
      <c r="D33" t="s">
        <v>22</v>
      </c>
    </row>
    <row r="34" spans="1:4" x14ac:dyDescent="0.3">
      <c r="A34" t="s">
        <v>21</v>
      </c>
      <c r="B34">
        <v>-14524</v>
      </c>
      <c r="C34">
        <v>2007</v>
      </c>
      <c r="D34" t="s">
        <v>22</v>
      </c>
    </row>
    <row r="35" spans="1:4" x14ac:dyDescent="0.3">
      <c r="A35" t="s">
        <v>21</v>
      </c>
      <c r="B35">
        <v>-16920</v>
      </c>
      <c r="C35">
        <v>2008</v>
      </c>
      <c r="D35" t="s">
        <v>22</v>
      </c>
    </row>
    <row r="36" spans="1:4" x14ac:dyDescent="0.3">
      <c r="A36" t="s">
        <v>21</v>
      </c>
      <c r="B36">
        <v>-14855</v>
      </c>
      <c r="C36">
        <v>2009</v>
      </c>
      <c r="D36" t="s">
        <v>22</v>
      </c>
    </row>
    <row r="37" spans="1:4" x14ac:dyDescent="0.3">
      <c r="A37" t="s">
        <v>21</v>
      </c>
      <c r="B37">
        <v>-13539</v>
      </c>
      <c r="C37">
        <v>2010</v>
      </c>
      <c r="D37" t="s">
        <v>22</v>
      </c>
    </row>
    <row r="38" spans="1:4" x14ac:dyDescent="0.3">
      <c r="A38" t="s">
        <v>21</v>
      </c>
      <c r="B38">
        <v>-14023</v>
      </c>
      <c r="C38">
        <v>2011</v>
      </c>
      <c r="D38" t="s">
        <v>22</v>
      </c>
    </row>
    <row r="39" spans="1:4" x14ac:dyDescent="0.3">
      <c r="A39" t="s">
        <v>21</v>
      </c>
      <c r="B39">
        <v>-18986</v>
      </c>
      <c r="C39">
        <v>2012</v>
      </c>
      <c r="D39" t="s">
        <v>22</v>
      </c>
    </row>
    <row r="40" spans="1:4" x14ac:dyDescent="0.3">
      <c r="A40" t="s">
        <v>21</v>
      </c>
      <c r="B40">
        <v>-16638</v>
      </c>
      <c r="C40">
        <v>2013</v>
      </c>
      <c r="D40" t="s">
        <v>22</v>
      </c>
    </row>
    <row r="41" spans="1:4" x14ac:dyDescent="0.3">
      <c r="A41" t="s">
        <v>21</v>
      </c>
      <c r="B41">
        <v>-15716</v>
      </c>
      <c r="C41">
        <v>2014</v>
      </c>
      <c r="D41" t="s">
        <v>22</v>
      </c>
    </row>
    <row r="42" spans="1:4" x14ac:dyDescent="0.3">
      <c r="A42" t="s">
        <v>21</v>
      </c>
      <c r="B42">
        <v>-15089</v>
      </c>
      <c r="C42">
        <v>2015</v>
      </c>
      <c r="D42" t="s">
        <v>22</v>
      </c>
    </row>
    <row r="43" spans="1:4" x14ac:dyDescent="0.3">
      <c r="A43" t="s">
        <v>21</v>
      </c>
      <c r="B43">
        <v>-14178</v>
      </c>
      <c r="C43">
        <v>2016</v>
      </c>
      <c r="D43" t="s">
        <v>22</v>
      </c>
    </row>
    <row r="44" spans="1:4" x14ac:dyDescent="0.3">
      <c r="A44" t="s">
        <v>21</v>
      </c>
      <c r="B44">
        <v>-14593</v>
      </c>
      <c r="C44">
        <v>2017</v>
      </c>
      <c r="D44" t="s">
        <v>22</v>
      </c>
    </row>
    <row r="45" spans="1:4" x14ac:dyDescent="0.3">
      <c r="A45" t="s">
        <v>21</v>
      </c>
      <c r="B45">
        <v>-12916</v>
      </c>
      <c r="C45">
        <v>2018</v>
      </c>
      <c r="D45" t="s">
        <v>22</v>
      </c>
    </row>
    <row r="46" spans="1:4" x14ac:dyDescent="0.3">
      <c r="A46" t="s">
        <v>21</v>
      </c>
      <c r="B46">
        <v>-11858</v>
      </c>
      <c r="C46">
        <v>2019</v>
      </c>
      <c r="D46" t="s">
        <v>22</v>
      </c>
    </row>
    <row r="47" spans="1:4" x14ac:dyDescent="0.3">
      <c r="A47" t="s">
        <v>21</v>
      </c>
      <c r="B47">
        <v>-14648</v>
      </c>
      <c r="C47">
        <v>2020</v>
      </c>
      <c r="D47" t="s">
        <v>22</v>
      </c>
    </row>
    <row r="48" spans="1:4" x14ac:dyDescent="0.3">
      <c r="A48" t="s">
        <v>21</v>
      </c>
      <c r="B48">
        <v>-16558</v>
      </c>
      <c r="C48">
        <v>2021</v>
      </c>
      <c r="D48" t="s">
        <v>22</v>
      </c>
    </row>
    <row r="49" spans="1:4" x14ac:dyDescent="0.3">
      <c r="A49" t="s">
        <v>21</v>
      </c>
      <c r="B49">
        <v>-27833</v>
      </c>
      <c r="C49">
        <v>2022</v>
      </c>
      <c r="D49" t="s">
        <v>22</v>
      </c>
    </row>
    <row r="50" spans="1:4" x14ac:dyDescent="0.3">
      <c r="A50" t="s">
        <v>21</v>
      </c>
      <c r="B50">
        <v>-25272</v>
      </c>
      <c r="C50">
        <v>2023</v>
      </c>
      <c r="D50" t="s">
        <v>22</v>
      </c>
    </row>
    <row r="51" spans="1:4" x14ac:dyDescent="0.3">
      <c r="A51" t="s">
        <v>21</v>
      </c>
      <c r="B51">
        <v>-24581</v>
      </c>
      <c r="C51">
        <v>2024</v>
      </c>
      <c r="D51" t="s">
        <v>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AC804-BBB6-49B0-9019-74125F94880C}">
  <dimension ref="A1:AG97"/>
  <sheetViews>
    <sheetView topLeftCell="L8" workbookViewId="0">
      <selection activeCell="AD19" sqref="AD19"/>
    </sheetView>
  </sheetViews>
  <sheetFormatPr defaultRowHeight="14.4" x14ac:dyDescent="0.3"/>
  <cols>
    <col min="1" max="1" width="42.88671875" bestFit="1" customWidth="1"/>
    <col min="2" max="2" width="9.33203125" customWidth="1"/>
    <col min="9" max="9" width="11.44140625" customWidth="1"/>
  </cols>
  <sheetData>
    <row r="1" spans="1:33" x14ac:dyDescent="0.3">
      <c r="A1" t="s">
        <v>24</v>
      </c>
      <c r="B1" t="s">
        <v>1</v>
      </c>
      <c r="C1" t="s">
        <v>2</v>
      </c>
      <c r="D1" t="s">
        <v>3</v>
      </c>
    </row>
    <row r="2" spans="1:33" x14ac:dyDescent="0.3">
      <c r="A2" t="s">
        <v>4</v>
      </c>
      <c r="B2">
        <v>75.856999999999999</v>
      </c>
      <c r="C2">
        <v>2000</v>
      </c>
      <c r="D2" t="s">
        <v>26</v>
      </c>
      <c r="J2">
        <v>2000</v>
      </c>
      <c r="K2">
        <v>2001</v>
      </c>
      <c r="L2">
        <v>2002</v>
      </c>
      <c r="M2">
        <v>2003</v>
      </c>
      <c r="N2">
        <v>2004</v>
      </c>
      <c r="O2">
        <v>2005</v>
      </c>
      <c r="P2">
        <v>2006</v>
      </c>
      <c r="Q2">
        <v>2007</v>
      </c>
      <c r="R2">
        <v>2008</v>
      </c>
      <c r="S2">
        <v>2009</v>
      </c>
      <c r="T2">
        <v>2010</v>
      </c>
      <c r="U2">
        <v>2011</v>
      </c>
      <c r="V2">
        <v>2012</v>
      </c>
      <c r="W2">
        <v>2013</v>
      </c>
      <c r="X2">
        <v>2014</v>
      </c>
      <c r="Y2">
        <v>2015</v>
      </c>
      <c r="Z2">
        <v>2016</v>
      </c>
      <c r="AA2">
        <v>2017</v>
      </c>
      <c r="AB2">
        <v>2018</v>
      </c>
      <c r="AC2">
        <v>2019</v>
      </c>
      <c r="AD2">
        <v>2020</v>
      </c>
      <c r="AE2">
        <v>2021</v>
      </c>
      <c r="AF2">
        <v>2022</v>
      </c>
      <c r="AG2">
        <v>2023</v>
      </c>
    </row>
    <row r="3" spans="1:33" x14ac:dyDescent="0.3">
      <c r="A3" t="s">
        <v>4</v>
      </c>
      <c r="B3">
        <v>67.123999999999995</v>
      </c>
      <c r="C3">
        <v>2001</v>
      </c>
      <c r="D3" t="s">
        <v>26</v>
      </c>
      <c r="I3" t="s">
        <v>4</v>
      </c>
      <c r="J3" s="3">
        <f>SUMIFS($B:$B,$A:$A,$I3,$C:$C,J$2)</f>
        <v>75.856999999999999</v>
      </c>
      <c r="K3" s="3">
        <f t="shared" ref="K3:AG6" si="0">SUMIFS($B:$B,$A:$A,$I3,$C:$C,K$2)</f>
        <v>67.123999999999995</v>
      </c>
      <c r="L3" s="3">
        <f t="shared" si="0"/>
        <v>76.909000000000006</v>
      </c>
      <c r="M3" s="3">
        <f t="shared" si="0"/>
        <v>70.673000000000002</v>
      </c>
      <c r="N3" s="3">
        <f t="shared" si="0"/>
        <v>73.147000000000006</v>
      </c>
      <c r="O3" s="3">
        <f t="shared" si="0"/>
        <v>73.171999999999997</v>
      </c>
      <c r="P3" s="3">
        <f t="shared" si="0"/>
        <v>62.594999999999999</v>
      </c>
      <c r="Q3" s="3">
        <f t="shared" si="0"/>
        <v>71.436000000000007</v>
      </c>
      <c r="R3" s="3">
        <f t="shared" si="0"/>
        <v>46.113999999999997</v>
      </c>
      <c r="S3" s="3">
        <f t="shared" si="0"/>
        <v>35.026000000000003</v>
      </c>
      <c r="T3" s="3">
        <f t="shared" si="0"/>
        <v>25.3</v>
      </c>
      <c r="U3" s="3">
        <f t="shared" si="0"/>
        <v>44.177999999999997</v>
      </c>
      <c r="V3" s="3">
        <f t="shared" si="0"/>
        <v>53.131999999999998</v>
      </c>
      <c r="W3" s="3">
        <f t="shared" si="0"/>
        <v>38.640999999999998</v>
      </c>
      <c r="X3" s="3">
        <f t="shared" si="0"/>
        <v>42.912999999999997</v>
      </c>
      <c r="Y3" s="3">
        <f t="shared" si="0"/>
        <v>49.125</v>
      </c>
      <c r="Z3" s="3">
        <f t="shared" si="0"/>
        <v>35.423000000000002</v>
      </c>
      <c r="AA3" s="3">
        <f t="shared" si="0"/>
        <v>44.04</v>
      </c>
      <c r="AB3" s="3">
        <f t="shared" si="0"/>
        <v>36.701999999999998</v>
      </c>
      <c r="AC3" s="3">
        <f t="shared" si="0"/>
        <v>14.217000000000001</v>
      </c>
      <c r="AD3" s="3">
        <f t="shared" si="0"/>
        <v>6.4909999999999997</v>
      </c>
      <c r="AE3" s="3">
        <f t="shared" si="0"/>
        <v>7.1749999999999998</v>
      </c>
      <c r="AF3" s="3">
        <f t="shared" si="0"/>
        <v>8.9670000000000005</v>
      </c>
      <c r="AG3" s="3">
        <f t="shared" si="0"/>
        <v>5.43</v>
      </c>
    </row>
    <row r="4" spans="1:33" x14ac:dyDescent="0.3">
      <c r="A4" t="s">
        <v>4</v>
      </c>
      <c r="B4">
        <v>76.909000000000006</v>
      </c>
      <c r="C4">
        <v>2002</v>
      </c>
      <c r="D4" t="s">
        <v>26</v>
      </c>
      <c r="I4" t="s">
        <v>6</v>
      </c>
      <c r="J4" s="3">
        <f t="shared" ref="J4:J6" si="1">SUMIFS($B:$B,$A:$A,$I4,$C:$C,J$2)</f>
        <v>14.377000000000001</v>
      </c>
      <c r="K4" s="3">
        <f t="shared" si="0"/>
        <v>16.364999999999998</v>
      </c>
      <c r="L4" s="3">
        <f t="shared" si="0"/>
        <v>18.884</v>
      </c>
      <c r="M4" s="3">
        <f t="shared" si="0"/>
        <v>15.645</v>
      </c>
      <c r="N4" s="3">
        <f t="shared" si="0"/>
        <v>15.881</v>
      </c>
      <c r="O4" s="3">
        <f t="shared" si="0"/>
        <v>17.149999999999999</v>
      </c>
      <c r="P4" s="3">
        <f t="shared" si="0"/>
        <v>14.491</v>
      </c>
      <c r="Q4" s="3">
        <f t="shared" si="0"/>
        <v>13.48</v>
      </c>
      <c r="R4" s="3">
        <f t="shared" si="0"/>
        <v>12.941000000000001</v>
      </c>
      <c r="S4" s="3">
        <f t="shared" si="0"/>
        <v>12.904999999999999</v>
      </c>
      <c r="T4" s="3">
        <f t="shared" si="0"/>
        <v>11.218</v>
      </c>
      <c r="U4" s="3">
        <f t="shared" si="0"/>
        <v>10.52</v>
      </c>
      <c r="V4" s="3">
        <f t="shared" si="0"/>
        <v>10.917</v>
      </c>
      <c r="W4" s="3">
        <f t="shared" si="0"/>
        <v>9.4359999999999999</v>
      </c>
      <c r="X4" s="3">
        <f t="shared" si="0"/>
        <v>9.9710000000000001</v>
      </c>
      <c r="Y4" s="3">
        <f t="shared" si="0"/>
        <v>11.891999999999999</v>
      </c>
      <c r="Z4" s="3">
        <f t="shared" si="0"/>
        <v>11.385999999999999</v>
      </c>
      <c r="AA4" s="3">
        <f t="shared" si="0"/>
        <v>10.512</v>
      </c>
      <c r="AB4" s="3">
        <f t="shared" si="0"/>
        <v>9.5120000000000005</v>
      </c>
      <c r="AC4" s="3">
        <f t="shared" si="0"/>
        <v>8.1780000000000008</v>
      </c>
      <c r="AD4" s="3">
        <f t="shared" si="0"/>
        <v>6.718</v>
      </c>
      <c r="AE4" s="3">
        <f t="shared" si="0"/>
        <v>6.3220000000000001</v>
      </c>
      <c r="AF4" s="3">
        <f t="shared" si="0"/>
        <v>6.7210000000000001</v>
      </c>
      <c r="AG4" s="3">
        <f t="shared" si="0"/>
        <v>6.24</v>
      </c>
    </row>
    <row r="5" spans="1:33" x14ac:dyDescent="0.3">
      <c r="A5" t="s">
        <v>4</v>
      </c>
      <c r="B5">
        <v>70.673000000000002</v>
      </c>
      <c r="C5">
        <v>2003</v>
      </c>
      <c r="D5" t="s">
        <v>26</v>
      </c>
      <c r="I5" t="s">
        <v>7</v>
      </c>
      <c r="J5" s="3">
        <f t="shared" si="1"/>
        <v>6.3049999999999997</v>
      </c>
      <c r="K5" s="3">
        <f t="shared" si="0"/>
        <v>6.5990000000000002</v>
      </c>
      <c r="L5" s="3">
        <f t="shared" si="0"/>
        <v>10.571999999999999</v>
      </c>
      <c r="M5" s="3">
        <f t="shared" si="0"/>
        <v>12.510999999999999</v>
      </c>
      <c r="N5" s="3">
        <f t="shared" si="0"/>
        <v>18.088000000000001</v>
      </c>
      <c r="O5" s="3">
        <f t="shared" si="0"/>
        <v>25.361999999999998</v>
      </c>
      <c r="P5" s="3">
        <f t="shared" si="0"/>
        <v>32.406999999999996</v>
      </c>
      <c r="Q5" s="3">
        <f t="shared" si="0"/>
        <v>32.332999999999998</v>
      </c>
      <c r="R5" s="3">
        <f t="shared" si="0"/>
        <v>42.374000000000002</v>
      </c>
      <c r="S5" s="3">
        <f t="shared" si="0"/>
        <v>38.268000000000001</v>
      </c>
      <c r="T5" s="3">
        <f t="shared" si="0"/>
        <v>34.341999999999999</v>
      </c>
      <c r="U5" s="3">
        <f t="shared" si="0"/>
        <v>30.934000000000001</v>
      </c>
      <c r="V5" s="3">
        <f t="shared" si="0"/>
        <v>26.295999999999999</v>
      </c>
      <c r="W5" s="3">
        <f t="shared" si="0"/>
        <v>20.146999999999998</v>
      </c>
      <c r="X5" s="3">
        <f t="shared" si="0"/>
        <v>16.512</v>
      </c>
      <c r="Y5" s="3">
        <f t="shared" si="0"/>
        <v>19.401</v>
      </c>
      <c r="Z5" s="3">
        <f t="shared" si="0"/>
        <v>19.056999999999999</v>
      </c>
      <c r="AA5" s="3">
        <f t="shared" si="0"/>
        <v>23.382999999999999</v>
      </c>
      <c r="AB5" s="3">
        <f t="shared" si="0"/>
        <v>21.161999999999999</v>
      </c>
      <c r="AC5" s="3">
        <f t="shared" si="0"/>
        <v>30.029</v>
      </c>
      <c r="AD5" s="3">
        <f t="shared" si="0"/>
        <v>25.106999999999999</v>
      </c>
      <c r="AE5" s="3">
        <f t="shared" si="0"/>
        <v>25.800999999999998</v>
      </c>
      <c r="AF5" s="3">
        <f t="shared" si="0"/>
        <v>32.043999999999997</v>
      </c>
      <c r="AG5" s="3">
        <f t="shared" si="0"/>
        <v>24.222999999999999</v>
      </c>
    </row>
    <row r="6" spans="1:33" x14ac:dyDescent="0.3">
      <c r="A6" t="s">
        <v>4</v>
      </c>
      <c r="B6">
        <v>73.147000000000006</v>
      </c>
      <c r="C6">
        <v>2004</v>
      </c>
      <c r="D6" t="s">
        <v>26</v>
      </c>
      <c r="I6" t="s">
        <v>25</v>
      </c>
      <c r="J6" s="3">
        <f t="shared" si="1"/>
        <v>0.88800000000000001</v>
      </c>
      <c r="K6" s="3">
        <f t="shared" si="0"/>
        <v>0.53400000000000003</v>
      </c>
      <c r="L6" s="3">
        <f t="shared" si="0"/>
        <v>0.374</v>
      </c>
      <c r="M6" s="3">
        <f t="shared" si="0"/>
        <v>0.436</v>
      </c>
      <c r="N6" s="3">
        <f t="shared" si="0"/>
        <v>0.46899999999999997</v>
      </c>
      <c r="O6" s="3">
        <f t="shared" si="0"/>
        <v>0.72599999999999998</v>
      </c>
      <c r="P6" s="3">
        <f t="shared" si="0"/>
        <v>0.96699999999999997</v>
      </c>
      <c r="Q6" s="3">
        <f t="shared" si="0"/>
        <v>1.1870000000000001</v>
      </c>
      <c r="R6" s="3">
        <f t="shared" si="0"/>
        <v>1.2589999999999999</v>
      </c>
      <c r="S6" s="3">
        <f t="shared" si="0"/>
        <v>1.2250000000000001</v>
      </c>
      <c r="T6" s="3">
        <f t="shared" si="0"/>
        <v>0.66800000000000004</v>
      </c>
      <c r="U6" s="3">
        <f t="shared" si="0"/>
        <v>0.748</v>
      </c>
      <c r="V6" s="3">
        <f t="shared" si="0"/>
        <v>0.67400000000000004</v>
      </c>
      <c r="W6" s="3">
        <f t="shared" si="0"/>
        <v>0.76600000000000001</v>
      </c>
      <c r="X6" s="3">
        <f t="shared" si="0"/>
        <v>0.78300000000000003</v>
      </c>
      <c r="Y6" s="3">
        <f t="shared" si="0"/>
        <v>0.95799999999999996</v>
      </c>
      <c r="Z6" s="3">
        <f t="shared" si="0"/>
        <v>0.88100000000000001</v>
      </c>
      <c r="AA6" s="3">
        <f t="shared" si="0"/>
        <v>0.97</v>
      </c>
      <c r="AB6" s="3">
        <f t="shared" si="0"/>
        <v>1.3839999999999999</v>
      </c>
      <c r="AC6" s="3">
        <f t="shared" si="0"/>
        <v>1.3080000000000001</v>
      </c>
      <c r="AD6" s="3">
        <f t="shared" si="0"/>
        <v>1.5760000000000001</v>
      </c>
      <c r="AE6" s="3">
        <f t="shared" si="0"/>
        <v>1.323</v>
      </c>
      <c r="AF6" s="3">
        <f t="shared" si="0"/>
        <v>1.3180000000000001</v>
      </c>
      <c r="AG6" s="3">
        <f t="shared" si="0"/>
        <v>1.22</v>
      </c>
    </row>
    <row r="7" spans="1:33" x14ac:dyDescent="0.3">
      <c r="A7" t="s">
        <v>4</v>
      </c>
      <c r="B7">
        <v>73.171999999999997</v>
      </c>
      <c r="C7">
        <v>2005</v>
      </c>
      <c r="D7" t="s">
        <v>26</v>
      </c>
    </row>
    <row r="8" spans="1:33" x14ac:dyDescent="0.3">
      <c r="A8" t="s">
        <v>4</v>
      </c>
      <c r="B8">
        <v>62.594999999999999</v>
      </c>
      <c r="C8">
        <v>2006</v>
      </c>
      <c r="D8" t="s">
        <v>26</v>
      </c>
    </row>
    <row r="9" spans="1:33" x14ac:dyDescent="0.3">
      <c r="A9" t="s">
        <v>4</v>
      </c>
      <c r="B9">
        <v>71.436000000000007</v>
      </c>
      <c r="C9">
        <v>2007</v>
      </c>
      <c r="D9" t="s">
        <v>26</v>
      </c>
    </row>
    <row r="10" spans="1:33" x14ac:dyDescent="0.3">
      <c r="A10" t="s">
        <v>4</v>
      </c>
      <c r="B10">
        <v>46.113999999999997</v>
      </c>
      <c r="C10">
        <v>2008</v>
      </c>
      <c r="D10" t="s">
        <v>26</v>
      </c>
    </row>
    <row r="11" spans="1:33" x14ac:dyDescent="0.3">
      <c r="A11" t="s">
        <v>4</v>
      </c>
      <c r="B11">
        <v>35.026000000000003</v>
      </c>
      <c r="C11">
        <v>2009</v>
      </c>
      <c r="D11" t="s">
        <v>26</v>
      </c>
    </row>
    <row r="12" spans="1:33" x14ac:dyDescent="0.3">
      <c r="A12" t="s">
        <v>4</v>
      </c>
      <c r="B12">
        <v>25.3</v>
      </c>
      <c r="C12">
        <v>2010</v>
      </c>
      <c r="D12" t="s">
        <v>26</v>
      </c>
    </row>
    <row r="13" spans="1:33" x14ac:dyDescent="0.3">
      <c r="A13" t="s">
        <v>4</v>
      </c>
      <c r="B13">
        <v>44.177999999999997</v>
      </c>
      <c r="C13">
        <v>2011</v>
      </c>
      <c r="D13" t="s">
        <v>26</v>
      </c>
    </row>
    <row r="14" spans="1:33" x14ac:dyDescent="0.3">
      <c r="A14" t="s">
        <v>4</v>
      </c>
      <c r="B14">
        <v>53.131999999999998</v>
      </c>
      <c r="C14">
        <v>2012</v>
      </c>
      <c r="D14" t="s">
        <v>26</v>
      </c>
    </row>
    <row r="15" spans="1:33" x14ac:dyDescent="0.3">
      <c r="A15" t="s">
        <v>4</v>
      </c>
      <c r="B15">
        <v>38.640999999999998</v>
      </c>
      <c r="C15">
        <v>2013</v>
      </c>
      <c r="D15" t="s">
        <v>26</v>
      </c>
    </row>
    <row r="16" spans="1:33" x14ac:dyDescent="0.3">
      <c r="A16" t="s">
        <v>4</v>
      </c>
      <c r="B16">
        <v>42.912999999999997</v>
      </c>
      <c r="C16">
        <v>2014</v>
      </c>
      <c r="D16" t="s">
        <v>26</v>
      </c>
    </row>
    <row r="17" spans="1:4" x14ac:dyDescent="0.3">
      <c r="A17" t="s">
        <v>4</v>
      </c>
      <c r="B17">
        <v>49.125</v>
      </c>
      <c r="C17">
        <v>2015</v>
      </c>
      <c r="D17" t="s">
        <v>26</v>
      </c>
    </row>
    <row r="18" spans="1:4" x14ac:dyDescent="0.3">
      <c r="A18" t="s">
        <v>4</v>
      </c>
      <c r="B18">
        <v>35.423000000000002</v>
      </c>
      <c r="C18">
        <v>2016</v>
      </c>
      <c r="D18" t="s">
        <v>26</v>
      </c>
    </row>
    <row r="19" spans="1:4" x14ac:dyDescent="0.3">
      <c r="A19" t="s">
        <v>4</v>
      </c>
      <c r="B19">
        <v>44.04</v>
      </c>
      <c r="C19">
        <v>2017</v>
      </c>
      <c r="D19" t="s">
        <v>26</v>
      </c>
    </row>
    <row r="20" spans="1:4" x14ac:dyDescent="0.3">
      <c r="A20" t="s">
        <v>4</v>
      </c>
      <c r="B20">
        <v>36.701999999999998</v>
      </c>
      <c r="C20">
        <v>2018</v>
      </c>
      <c r="D20" t="s">
        <v>26</v>
      </c>
    </row>
    <row r="21" spans="1:4" x14ac:dyDescent="0.3">
      <c r="A21" t="s">
        <v>4</v>
      </c>
      <c r="B21">
        <v>14.217000000000001</v>
      </c>
      <c r="C21">
        <v>2019</v>
      </c>
      <c r="D21" t="s">
        <v>26</v>
      </c>
    </row>
    <row r="22" spans="1:4" x14ac:dyDescent="0.3">
      <c r="A22" t="s">
        <v>4</v>
      </c>
      <c r="B22">
        <v>6.4909999999999997</v>
      </c>
      <c r="C22">
        <v>2020</v>
      </c>
      <c r="D22" t="s">
        <v>26</v>
      </c>
    </row>
    <row r="23" spans="1:4" x14ac:dyDescent="0.3">
      <c r="A23" t="s">
        <v>4</v>
      </c>
      <c r="B23">
        <v>7.1749999999999998</v>
      </c>
      <c r="C23">
        <v>2021</v>
      </c>
      <c r="D23" t="s">
        <v>26</v>
      </c>
    </row>
    <row r="24" spans="1:4" x14ac:dyDescent="0.3">
      <c r="A24" t="s">
        <v>4</v>
      </c>
      <c r="B24">
        <v>8.9670000000000005</v>
      </c>
      <c r="C24">
        <v>2022</v>
      </c>
      <c r="D24" t="s">
        <v>26</v>
      </c>
    </row>
    <row r="25" spans="1:4" x14ac:dyDescent="0.3">
      <c r="A25" t="s">
        <v>4</v>
      </c>
      <c r="B25">
        <v>5.43</v>
      </c>
      <c r="C25">
        <v>2023</v>
      </c>
      <c r="D25" t="s">
        <v>26</v>
      </c>
    </row>
    <row r="26" spans="1:4" x14ac:dyDescent="0.3">
      <c r="A26" t="s">
        <v>6</v>
      </c>
      <c r="B26">
        <v>14.377000000000001</v>
      </c>
      <c r="C26">
        <v>2000</v>
      </c>
      <c r="D26" t="s">
        <v>26</v>
      </c>
    </row>
    <row r="27" spans="1:4" x14ac:dyDescent="0.3">
      <c r="A27" t="s">
        <v>6</v>
      </c>
      <c r="B27">
        <v>16.364999999999998</v>
      </c>
      <c r="C27">
        <v>2001</v>
      </c>
      <c r="D27" t="s">
        <v>26</v>
      </c>
    </row>
    <row r="28" spans="1:4" x14ac:dyDescent="0.3">
      <c r="A28" t="s">
        <v>6</v>
      </c>
      <c r="B28">
        <v>18.884</v>
      </c>
      <c r="C28">
        <v>2002</v>
      </c>
      <c r="D28" t="s">
        <v>26</v>
      </c>
    </row>
    <row r="29" spans="1:4" x14ac:dyDescent="0.3">
      <c r="A29" t="s">
        <v>6</v>
      </c>
      <c r="B29">
        <v>15.645</v>
      </c>
      <c r="C29">
        <v>2003</v>
      </c>
      <c r="D29" t="s">
        <v>26</v>
      </c>
    </row>
    <row r="30" spans="1:4" x14ac:dyDescent="0.3">
      <c r="A30" t="s">
        <v>6</v>
      </c>
      <c r="B30">
        <v>15.881</v>
      </c>
      <c r="C30">
        <v>2004</v>
      </c>
      <c r="D30" t="s">
        <v>26</v>
      </c>
    </row>
    <row r="31" spans="1:4" x14ac:dyDescent="0.3">
      <c r="A31" t="s">
        <v>6</v>
      </c>
      <c r="B31">
        <v>17.149999999999999</v>
      </c>
      <c r="C31">
        <v>2005</v>
      </c>
      <c r="D31" t="s">
        <v>26</v>
      </c>
    </row>
    <row r="32" spans="1:4" x14ac:dyDescent="0.3">
      <c r="A32" t="s">
        <v>6</v>
      </c>
      <c r="B32">
        <v>14.491</v>
      </c>
      <c r="C32">
        <v>2006</v>
      </c>
      <c r="D32" t="s">
        <v>26</v>
      </c>
    </row>
    <row r="33" spans="1:4" x14ac:dyDescent="0.3">
      <c r="A33" t="s">
        <v>6</v>
      </c>
      <c r="B33">
        <v>13.48</v>
      </c>
      <c r="C33">
        <v>2007</v>
      </c>
      <c r="D33" t="s">
        <v>26</v>
      </c>
    </row>
    <row r="34" spans="1:4" x14ac:dyDescent="0.3">
      <c r="A34" t="s">
        <v>6</v>
      </c>
      <c r="B34">
        <v>12.941000000000001</v>
      </c>
      <c r="C34">
        <v>2008</v>
      </c>
      <c r="D34" t="s">
        <v>26</v>
      </c>
    </row>
    <row r="35" spans="1:4" x14ac:dyDescent="0.3">
      <c r="A35" t="s">
        <v>6</v>
      </c>
      <c r="B35">
        <v>12.904999999999999</v>
      </c>
      <c r="C35">
        <v>2009</v>
      </c>
      <c r="D35" t="s">
        <v>26</v>
      </c>
    </row>
    <row r="36" spans="1:4" x14ac:dyDescent="0.3">
      <c r="A36" t="s">
        <v>6</v>
      </c>
      <c r="B36">
        <v>11.218</v>
      </c>
      <c r="C36">
        <v>2010</v>
      </c>
      <c r="D36" t="s">
        <v>26</v>
      </c>
    </row>
    <row r="37" spans="1:4" x14ac:dyDescent="0.3">
      <c r="A37" t="s">
        <v>6</v>
      </c>
      <c r="B37">
        <v>10.52</v>
      </c>
      <c r="C37">
        <v>2011</v>
      </c>
      <c r="D37" t="s">
        <v>26</v>
      </c>
    </row>
    <row r="38" spans="1:4" x14ac:dyDescent="0.3">
      <c r="A38" t="s">
        <v>6</v>
      </c>
      <c r="B38">
        <v>10.917</v>
      </c>
      <c r="C38">
        <v>2012</v>
      </c>
      <c r="D38" t="s">
        <v>26</v>
      </c>
    </row>
    <row r="39" spans="1:4" x14ac:dyDescent="0.3">
      <c r="A39" t="s">
        <v>6</v>
      </c>
      <c r="B39">
        <v>9.4359999999999999</v>
      </c>
      <c r="C39">
        <v>2013</v>
      </c>
      <c r="D39" t="s">
        <v>26</v>
      </c>
    </row>
    <row r="40" spans="1:4" x14ac:dyDescent="0.3">
      <c r="A40" t="s">
        <v>6</v>
      </c>
      <c r="B40">
        <v>9.9710000000000001</v>
      </c>
      <c r="C40">
        <v>2014</v>
      </c>
      <c r="D40" t="s">
        <v>26</v>
      </c>
    </row>
    <row r="41" spans="1:4" x14ac:dyDescent="0.3">
      <c r="A41" t="s">
        <v>6</v>
      </c>
      <c r="B41">
        <v>11.891999999999999</v>
      </c>
      <c r="C41">
        <v>2015</v>
      </c>
      <c r="D41" t="s">
        <v>26</v>
      </c>
    </row>
    <row r="42" spans="1:4" x14ac:dyDescent="0.3">
      <c r="A42" t="s">
        <v>6</v>
      </c>
      <c r="B42">
        <v>11.385999999999999</v>
      </c>
      <c r="C42">
        <v>2016</v>
      </c>
      <c r="D42" t="s">
        <v>26</v>
      </c>
    </row>
    <row r="43" spans="1:4" x14ac:dyDescent="0.3">
      <c r="A43" t="s">
        <v>6</v>
      </c>
      <c r="B43">
        <v>10.512</v>
      </c>
      <c r="C43">
        <v>2017</v>
      </c>
      <c r="D43" t="s">
        <v>26</v>
      </c>
    </row>
    <row r="44" spans="1:4" x14ac:dyDescent="0.3">
      <c r="A44" t="s">
        <v>6</v>
      </c>
      <c r="B44">
        <v>9.5120000000000005</v>
      </c>
      <c r="C44">
        <v>2018</v>
      </c>
      <c r="D44" t="s">
        <v>26</v>
      </c>
    </row>
    <row r="45" spans="1:4" x14ac:dyDescent="0.3">
      <c r="A45" t="s">
        <v>6</v>
      </c>
      <c r="B45">
        <v>8.1780000000000008</v>
      </c>
      <c r="C45">
        <v>2019</v>
      </c>
      <c r="D45" t="s">
        <v>26</v>
      </c>
    </row>
    <row r="46" spans="1:4" x14ac:dyDescent="0.3">
      <c r="A46" t="s">
        <v>6</v>
      </c>
      <c r="B46">
        <v>6.718</v>
      </c>
      <c r="C46">
        <v>2020</v>
      </c>
      <c r="D46" t="s">
        <v>26</v>
      </c>
    </row>
    <row r="47" spans="1:4" x14ac:dyDescent="0.3">
      <c r="A47" t="s">
        <v>6</v>
      </c>
      <c r="B47">
        <v>6.3220000000000001</v>
      </c>
      <c r="C47">
        <v>2021</v>
      </c>
      <c r="D47" t="s">
        <v>26</v>
      </c>
    </row>
    <row r="48" spans="1:4" x14ac:dyDescent="0.3">
      <c r="A48" t="s">
        <v>6</v>
      </c>
      <c r="B48">
        <v>6.7210000000000001</v>
      </c>
      <c r="C48">
        <v>2022</v>
      </c>
      <c r="D48" t="s">
        <v>26</v>
      </c>
    </row>
    <row r="49" spans="1:4" x14ac:dyDescent="0.3">
      <c r="A49" t="s">
        <v>6</v>
      </c>
      <c r="B49">
        <v>6.24</v>
      </c>
      <c r="C49">
        <v>2023</v>
      </c>
      <c r="D49" t="s">
        <v>26</v>
      </c>
    </row>
    <row r="50" spans="1:4" x14ac:dyDescent="0.3">
      <c r="A50" t="s">
        <v>7</v>
      </c>
      <c r="B50">
        <v>6.3049999999999997</v>
      </c>
      <c r="C50">
        <v>2000</v>
      </c>
      <c r="D50" t="s">
        <v>26</v>
      </c>
    </row>
    <row r="51" spans="1:4" x14ac:dyDescent="0.3">
      <c r="A51" t="s">
        <v>7</v>
      </c>
      <c r="B51">
        <v>6.5990000000000002</v>
      </c>
      <c r="C51">
        <v>2001</v>
      </c>
      <c r="D51" t="s">
        <v>26</v>
      </c>
    </row>
    <row r="52" spans="1:4" x14ac:dyDescent="0.3">
      <c r="A52" t="s">
        <v>7</v>
      </c>
      <c r="B52">
        <v>10.571999999999999</v>
      </c>
      <c r="C52">
        <v>2002</v>
      </c>
      <c r="D52" t="s">
        <v>26</v>
      </c>
    </row>
    <row r="53" spans="1:4" x14ac:dyDescent="0.3">
      <c r="A53" t="s">
        <v>7</v>
      </c>
      <c r="B53">
        <v>12.510999999999999</v>
      </c>
      <c r="C53">
        <v>2003</v>
      </c>
      <c r="D53" t="s">
        <v>26</v>
      </c>
    </row>
    <row r="54" spans="1:4" x14ac:dyDescent="0.3">
      <c r="A54" t="s">
        <v>7</v>
      </c>
      <c r="B54">
        <v>18.088000000000001</v>
      </c>
      <c r="C54">
        <v>2004</v>
      </c>
      <c r="D54" t="s">
        <v>26</v>
      </c>
    </row>
    <row r="55" spans="1:4" x14ac:dyDescent="0.3">
      <c r="A55" t="s">
        <v>7</v>
      </c>
      <c r="B55">
        <v>25.361999999999998</v>
      </c>
      <c r="C55">
        <v>2005</v>
      </c>
      <c r="D55" t="s">
        <v>26</v>
      </c>
    </row>
    <row r="56" spans="1:4" x14ac:dyDescent="0.3">
      <c r="A56" t="s">
        <v>7</v>
      </c>
      <c r="B56">
        <v>32.406999999999996</v>
      </c>
      <c r="C56">
        <v>2006</v>
      </c>
      <c r="D56" t="s">
        <v>26</v>
      </c>
    </row>
    <row r="57" spans="1:4" x14ac:dyDescent="0.3">
      <c r="A57" t="s">
        <v>7</v>
      </c>
      <c r="B57">
        <v>32.332999999999998</v>
      </c>
      <c r="C57">
        <v>2007</v>
      </c>
      <c r="D57" t="s">
        <v>26</v>
      </c>
    </row>
    <row r="58" spans="1:4" x14ac:dyDescent="0.3">
      <c r="A58" t="s">
        <v>7</v>
      </c>
      <c r="B58">
        <v>42.374000000000002</v>
      </c>
      <c r="C58">
        <v>2008</v>
      </c>
      <c r="D58" t="s">
        <v>26</v>
      </c>
    </row>
    <row r="59" spans="1:4" x14ac:dyDescent="0.3">
      <c r="A59" t="s">
        <v>7</v>
      </c>
      <c r="B59">
        <v>38.268000000000001</v>
      </c>
      <c r="C59">
        <v>2009</v>
      </c>
      <c r="D59" t="s">
        <v>26</v>
      </c>
    </row>
    <row r="60" spans="1:4" x14ac:dyDescent="0.3">
      <c r="A60" t="s">
        <v>7</v>
      </c>
      <c r="B60">
        <v>34.341999999999999</v>
      </c>
      <c r="C60">
        <v>2010</v>
      </c>
      <c r="D60" t="s">
        <v>26</v>
      </c>
    </row>
    <row r="61" spans="1:4" x14ac:dyDescent="0.3">
      <c r="A61" t="s">
        <v>7</v>
      </c>
      <c r="B61">
        <v>30.934000000000001</v>
      </c>
      <c r="C61">
        <v>2011</v>
      </c>
      <c r="D61" t="s">
        <v>26</v>
      </c>
    </row>
    <row r="62" spans="1:4" x14ac:dyDescent="0.3">
      <c r="A62" t="s">
        <v>7</v>
      </c>
      <c r="B62">
        <v>26.295999999999999</v>
      </c>
      <c r="C62">
        <v>2012</v>
      </c>
      <c r="D62" t="s">
        <v>26</v>
      </c>
    </row>
    <row r="63" spans="1:4" x14ac:dyDescent="0.3">
      <c r="A63" t="s">
        <v>7</v>
      </c>
      <c r="B63">
        <v>20.146999999999998</v>
      </c>
      <c r="C63">
        <v>2013</v>
      </c>
      <c r="D63" t="s">
        <v>26</v>
      </c>
    </row>
    <row r="64" spans="1:4" x14ac:dyDescent="0.3">
      <c r="A64" t="s">
        <v>7</v>
      </c>
      <c r="B64">
        <v>16.512</v>
      </c>
      <c r="C64">
        <v>2014</v>
      </c>
      <c r="D64" t="s">
        <v>26</v>
      </c>
    </row>
    <row r="65" spans="1:4" x14ac:dyDescent="0.3">
      <c r="A65" t="s">
        <v>7</v>
      </c>
      <c r="B65">
        <v>19.401</v>
      </c>
      <c r="C65">
        <v>2015</v>
      </c>
      <c r="D65" t="s">
        <v>26</v>
      </c>
    </row>
    <row r="66" spans="1:4" x14ac:dyDescent="0.3">
      <c r="A66" t="s">
        <v>7</v>
      </c>
      <c r="B66">
        <v>19.056999999999999</v>
      </c>
      <c r="C66">
        <v>2016</v>
      </c>
      <c r="D66" t="s">
        <v>26</v>
      </c>
    </row>
    <row r="67" spans="1:4" x14ac:dyDescent="0.3">
      <c r="A67" t="s">
        <v>7</v>
      </c>
      <c r="B67">
        <v>23.382999999999999</v>
      </c>
      <c r="C67">
        <v>2017</v>
      </c>
      <c r="D67" t="s">
        <v>26</v>
      </c>
    </row>
    <row r="68" spans="1:4" x14ac:dyDescent="0.3">
      <c r="A68" t="s">
        <v>7</v>
      </c>
      <c r="B68">
        <v>21.161999999999999</v>
      </c>
      <c r="C68">
        <v>2018</v>
      </c>
      <c r="D68" t="s">
        <v>26</v>
      </c>
    </row>
    <row r="69" spans="1:4" x14ac:dyDescent="0.3">
      <c r="A69" t="s">
        <v>7</v>
      </c>
      <c r="B69">
        <v>30.029</v>
      </c>
      <c r="C69">
        <v>2019</v>
      </c>
      <c r="D69" t="s">
        <v>26</v>
      </c>
    </row>
    <row r="70" spans="1:4" x14ac:dyDescent="0.3">
      <c r="A70" t="s">
        <v>7</v>
      </c>
      <c r="B70">
        <v>25.106999999999999</v>
      </c>
      <c r="C70">
        <v>2020</v>
      </c>
      <c r="D70" t="s">
        <v>26</v>
      </c>
    </row>
    <row r="71" spans="1:4" x14ac:dyDescent="0.3">
      <c r="A71" t="s">
        <v>7</v>
      </c>
      <c r="B71">
        <v>25.800999999999998</v>
      </c>
      <c r="C71">
        <v>2021</v>
      </c>
      <c r="D71" t="s">
        <v>26</v>
      </c>
    </row>
    <row r="72" spans="1:4" x14ac:dyDescent="0.3">
      <c r="A72" t="s">
        <v>7</v>
      </c>
      <c r="B72">
        <v>32.043999999999997</v>
      </c>
      <c r="C72">
        <v>2022</v>
      </c>
      <c r="D72" t="s">
        <v>26</v>
      </c>
    </row>
    <row r="73" spans="1:4" x14ac:dyDescent="0.3">
      <c r="A73" t="s">
        <v>7</v>
      </c>
      <c r="B73">
        <v>24.222999999999999</v>
      </c>
      <c r="C73">
        <v>2023</v>
      </c>
      <c r="D73" t="s">
        <v>26</v>
      </c>
    </row>
    <row r="74" spans="1:4" x14ac:dyDescent="0.3">
      <c r="A74" t="s">
        <v>25</v>
      </c>
      <c r="B74">
        <v>0.88800000000000001</v>
      </c>
      <c r="C74">
        <v>2000</v>
      </c>
      <c r="D74" t="s">
        <v>26</v>
      </c>
    </row>
    <row r="75" spans="1:4" x14ac:dyDescent="0.3">
      <c r="A75" t="s">
        <v>25</v>
      </c>
      <c r="B75">
        <v>0.53400000000000003</v>
      </c>
      <c r="C75">
        <v>2001</v>
      </c>
      <c r="D75" t="s">
        <v>26</v>
      </c>
    </row>
    <row r="76" spans="1:4" x14ac:dyDescent="0.3">
      <c r="A76" t="s">
        <v>25</v>
      </c>
      <c r="B76">
        <v>0.374</v>
      </c>
      <c r="C76">
        <v>2002</v>
      </c>
      <c r="D76" t="s">
        <v>26</v>
      </c>
    </row>
    <row r="77" spans="1:4" x14ac:dyDescent="0.3">
      <c r="A77" t="s">
        <v>25</v>
      </c>
      <c r="B77">
        <v>0.436</v>
      </c>
      <c r="C77">
        <v>2003</v>
      </c>
      <c r="D77" t="s">
        <v>26</v>
      </c>
    </row>
    <row r="78" spans="1:4" x14ac:dyDescent="0.3">
      <c r="A78" t="s">
        <v>25</v>
      </c>
      <c r="B78">
        <v>0.46899999999999997</v>
      </c>
      <c r="C78">
        <v>2004</v>
      </c>
      <c r="D78" t="s">
        <v>26</v>
      </c>
    </row>
    <row r="79" spans="1:4" x14ac:dyDescent="0.3">
      <c r="A79" t="s">
        <v>25</v>
      </c>
      <c r="B79">
        <v>0.72599999999999998</v>
      </c>
      <c r="C79">
        <v>2005</v>
      </c>
      <c r="D79" t="s">
        <v>26</v>
      </c>
    </row>
    <row r="80" spans="1:4" x14ac:dyDescent="0.3">
      <c r="A80" t="s">
        <v>25</v>
      </c>
      <c r="B80">
        <v>0.96699999999999997</v>
      </c>
      <c r="C80">
        <v>2006</v>
      </c>
      <c r="D80" t="s">
        <v>26</v>
      </c>
    </row>
    <row r="81" spans="1:4" x14ac:dyDescent="0.3">
      <c r="A81" t="s">
        <v>25</v>
      </c>
      <c r="B81">
        <v>1.1870000000000001</v>
      </c>
      <c r="C81">
        <v>2007</v>
      </c>
      <c r="D81" t="s">
        <v>26</v>
      </c>
    </row>
    <row r="82" spans="1:4" x14ac:dyDescent="0.3">
      <c r="A82" t="s">
        <v>25</v>
      </c>
      <c r="B82">
        <v>1.2589999999999999</v>
      </c>
      <c r="C82">
        <v>2008</v>
      </c>
      <c r="D82" t="s">
        <v>26</v>
      </c>
    </row>
    <row r="83" spans="1:4" x14ac:dyDescent="0.3">
      <c r="A83" t="s">
        <v>25</v>
      </c>
      <c r="B83">
        <v>1.2250000000000001</v>
      </c>
      <c r="C83">
        <v>2009</v>
      </c>
      <c r="D83" t="s">
        <v>26</v>
      </c>
    </row>
    <row r="84" spans="1:4" x14ac:dyDescent="0.3">
      <c r="A84" t="s">
        <v>25</v>
      </c>
      <c r="B84">
        <v>0.66800000000000004</v>
      </c>
      <c r="C84">
        <v>2010</v>
      </c>
      <c r="D84" t="s">
        <v>26</v>
      </c>
    </row>
    <row r="85" spans="1:4" x14ac:dyDescent="0.3">
      <c r="A85" t="s">
        <v>25</v>
      </c>
      <c r="B85">
        <v>0.748</v>
      </c>
      <c r="C85">
        <v>2011</v>
      </c>
      <c r="D85" t="s">
        <v>26</v>
      </c>
    </row>
    <row r="86" spans="1:4" x14ac:dyDescent="0.3">
      <c r="A86" t="s">
        <v>25</v>
      </c>
      <c r="B86">
        <v>0.67400000000000004</v>
      </c>
      <c r="C86">
        <v>2012</v>
      </c>
      <c r="D86" t="s">
        <v>26</v>
      </c>
    </row>
    <row r="87" spans="1:4" x14ac:dyDescent="0.3">
      <c r="A87" t="s">
        <v>25</v>
      </c>
      <c r="B87">
        <v>0.76600000000000001</v>
      </c>
      <c r="C87">
        <v>2013</v>
      </c>
      <c r="D87" t="s">
        <v>26</v>
      </c>
    </row>
    <row r="88" spans="1:4" x14ac:dyDescent="0.3">
      <c r="A88" t="s">
        <v>25</v>
      </c>
      <c r="B88">
        <v>0.78300000000000003</v>
      </c>
      <c r="C88">
        <v>2014</v>
      </c>
      <c r="D88" t="s">
        <v>26</v>
      </c>
    </row>
    <row r="89" spans="1:4" x14ac:dyDescent="0.3">
      <c r="A89" t="s">
        <v>25</v>
      </c>
      <c r="B89">
        <v>0.95799999999999996</v>
      </c>
      <c r="C89">
        <v>2015</v>
      </c>
      <c r="D89" t="s">
        <v>26</v>
      </c>
    </row>
    <row r="90" spans="1:4" x14ac:dyDescent="0.3">
      <c r="A90" t="s">
        <v>25</v>
      </c>
      <c r="B90">
        <v>0.88100000000000001</v>
      </c>
      <c r="C90">
        <v>2016</v>
      </c>
      <c r="D90" t="s">
        <v>26</v>
      </c>
    </row>
    <row r="91" spans="1:4" x14ac:dyDescent="0.3">
      <c r="A91" t="s">
        <v>25</v>
      </c>
      <c r="B91">
        <v>0.97</v>
      </c>
      <c r="C91">
        <v>2017</v>
      </c>
      <c r="D91" t="s">
        <v>26</v>
      </c>
    </row>
    <row r="92" spans="1:4" x14ac:dyDescent="0.3">
      <c r="A92" t="s">
        <v>25</v>
      </c>
      <c r="B92">
        <v>1.3839999999999999</v>
      </c>
      <c r="C92">
        <v>2018</v>
      </c>
      <c r="D92" t="s">
        <v>26</v>
      </c>
    </row>
    <row r="93" spans="1:4" x14ac:dyDescent="0.3">
      <c r="A93" t="s">
        <v>25</v>
      </c>
      <c r="B93">
        <v>1.3080000000000001</v>
      </c>
      <c r="C93">
        <v>2019</v>
      </c>
      <c r="D93" t="s">
        <v>26</v>
      </c>
    </row>
    <row r="94" spans="1:4" x14ac:dyDescent="0.3">
      <c r="A94" t="s">
        <v>25</v>
      </c>
      <c r="B94">
        <v>1.5760000000000001</v>
      </c>
      <c r="C94">
        <v>2020</v>
      </c>
      <c r="D94" t="s">
        <v>26</v>
      </c>
    </row>
    <row r="95" spans="1:4" x14ac:dyDescent="0.3">
      <c r="A95" t="s">
        <v>25</v>
      </c>
      <c r="B95">
        <v>1.323</v>
      </c>
      <c r="C95">
        <v>2021</v>
      </c>
      <c r="D95" t="s">
        <v>26</v>
      </c>
    </row>
    <row r="96" spans="1:4" x14ac:dyDescent="0.3">
      <c r="A96" t="s">
        <v>25</v>
      </c>
      <c r="B96">
        <v>1.3180000000000001</v>
      </c>
      <c r="C96">
        <v>2022</v>
      </c>
      <c r="D96" t="s">
        <v>26</v>
      </c>
    </row>
    <row r="97" spans="1:4" x14ac:dyDescent="0.3">
      <c r="A97" t="s">
        <v>25</v>
      </c>
      <c r="B97">
        <v>1.22</v>
      </c>
      <c r="C97">
        <v>2023</v>
      </c>
      <c r="D97" t="s">
        <v>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E3364-19EF-4DBB-9C60-BFBDC0F3AE34}">
  <dimension ref="A1:AD39"/>
  <sheetViews>
    <sheetView tabSelected="1" topLeftCell="A6" workbookViewId="0">
      <selection activeCell="N8" sqref="N8"/>
    </sheetView>
  </sheetViews>
  <sheetFormatPr defaultRowHeight="14.4" x14ac:dyDescent="0.3"/>
  <cols>
    <col min="1" max="1" width="10.88671875" customWidth="1"/>
    <col min="2" max="2" width="12.6640625" customWidth="1"/>
    <col min="3" max="3" width="13.6640625" customWidth="1"/>
  </cols>
  <sheetData>
    <row r="1" spans="1:30" x14ac:dyDescent="0.3">
      <c r="A1" t="s">
        <v>27</v>
      </c>
    </row>
    <row r="2" spans="1:30" x14ac:dyDescent="0.3">
      <c r="A2" t="s">
        <v>28</v>
      </c>
    </row>
    <row r="4" spans="1:30" x14ac:dyDescent="0.3">
      <c r="B4" t="s">
        <v>29</v>
      </c>
      <c r="C4" t="s">
        <v>3</v>
      </c>
      <c r="F4">
        <v>2000</v>
      </c>
      <c r="G4">
        <v>2001</v>
      </c>
      <c r="H4">
        <v>2002</v>
      </c>
      <c r="I4">
        <v>2003</v>
      </c>
      <c r="J4">
        <v>2004</v>
      </c>
      <c r="K4">
        <v>2005</v>
      </c>
      <c r="L4">
        <v>2006</v>
      </c>
      <c r="M4">
        <v>2007</v>
      </c>
      <c r="N4">
        <v>2008</v>
      </c>
      <c r="O4">
        <v>2009</v>
      </c>
      <c r="P4">
        <v>2010</v>
      </c>
      <c r="Q4">
        <v>2011</v>
      </c>
      <c r="R4">
        <v>2012</v>
      </c>
      <c r="S4">
        <v>2013</v>
      </c>
      <c r="T4">
        <v>2014</v>
      </c>
      <c r="U4">
        <v>2015</v>
      </c>
      <c r="V4">
        <v>2016</v>
      </c>
      <c r="W4">
        <v>2017</v>
      </c>
      <c r="X4">
        <v>2018</v>
      </c>
      <c r="Y4">
        <v>2019</v>
      </c>
      <c r="Z4">
        <v>2020</v>
      </c>
      <c r="AA4">
        <v>2021</v>
      </c>
      <c r="AB4">
        <v>2022</v>
      </c>
      <c r="AC4">
        <v>2023</v>
      </c>
      <c r="AD4">
        <v>2024</v>
      </c>
    </row>
    <row r="5" spans="1:30" x14ac:dyDescent="0.3">
      <c r="A5">
        <v>1990</v>
      </c>
      <c r="B5">
        <v>137.46700000000001</v>
      </c>
      <c r="C5" t="s">
        <v>30</v>
      </c>
      <c r="F5">
        <f>SUMIFS($B:$B,$A:$A,F$4)</f>
        <v>209.643</v>
      </c>
      <c r="G5">
        <f t="shared" ref="G5:AD5" si="0">SUMIFS($B:$B,$A:$A,G$4)</f>
        <v>221.505</v>
      </c>
      <c r="H5">
        <f t="shared" si="0"/>
        <v>231.03299999999999</v>
      </c>
      <c r="I5">
        <f t="shared" si="0"/>
        <v>239.44200000000001</v>
      </c>
      <c r="J5">
        <f t="shared" si="0"/>
        <v>252.87700000000001</v>
      </c>
      <c r="K5">
        <f t="shared" si="0"/>
        <v>266.78100000000001</v>
      </c>
      <c r="L5">
        <f t="shared" si="0"/>
        <v>271.05500000000001</v>
      </c>
      <c r="M5">
        <f t="shared" si="0"/>
        <v>273.827</v>
      </c>
      <c r="N5">
        <f t="shared" si="0"/>
        <v>276.90899999999999</v>
      </c>
      <c r="O5">
        <f t="shared" si="0"/>
        <v>262.07100000000003</v>
      </c>
      <c r="P5">
        <f t="shared" si="0"/>
        <v>265.79399999999998</v>
      </c>
      <c r="Q5">
        <f t="shared" si="0"/>
        <v>261.72899999999998</v>
      </c>
      <c r="R5">
        <f t="shared" si="0"/>
        <v>260.685</v>
      </c>
      <c r="S5">
        <f t="shared" si="0"/>
        <v>252.18600000000001</v>
      </c>
      <c r="T5">
        <f t="shared" si="0"/>
        <v>248.95</v>
      </c>
      <c r="U5">
        <f t="shared" si="0"/>
        <v>254.26900000000001</v>
      </c>
      <c r="V5">
        <f t="shared" si="0"/>
        <v>255.71899999999999</v>
      </c>
      <c r="W5">
        <f t="shared" si="0"/>
        <v>261.072</v>
      </c>
      <c r="X5">
        <f t="shared" si="0"/>
        <v>259.95800000000003</v>
      </c>
      <c r="Y5">
        <f t="shared" si="0"/>
        <v>255.32900000000001</v>
      </c>
      <c r="Z5">
        <f t="shared" si="0"/>
        <v>241.02199999999999</v>
      </c>
      <c r="AA5">
        <f t="shared" si="0"/>
        <v>248.43600000000001</v>
      </c>
      <c r="AB5">
        <f t="shared" si="0"/>
        <v>247.52099999999999</v>
      </c>
      <c r="AC5">
        <f t="shared" si="0"/>
        <v>247.46</v>
      </c>
      <c r="AD5">
        <f t="shared" si="0"/>
        <v>253.74799999999999</v>
      </c>
    </row>
    <row r="6" spans="1:30" x14ac:dyDescent="0.3">
      <c r="A6">
        <v>1991</v>
      </c>
      <c r="B6">
        <v>140.583</v>
      </c>
      <c r="C6" t="s">
        <v>30</v>
      </c>
    </row>
    <row r="7" spans="1:30" x14ac:dyDescent="0.3">
      <c r="A7">
        <v>1992</v>
      </c>
      <c r="B7">
        <v>144.51900000000001</v>
      </c>
      <c r="C7" t="s">
        <v>30</v>
      </c>
      <c r="F7">
        <v>2000</v>
      </c>
      <c r="G7">
        <f>SUMIFS($B:$B,$A:$A,$F7)</f>
        <v>209.643</v>
      </c>
    </row>
    <row r="8" spans="1:30" x14ac:dyDescent="0.3">
      <c r="A8">
        <v>1993</v>
      </c>
      <c r="B8">
        <v>143.221</v>
      </c>
      <c r="C8" t="s">
        <v>30</v>
      </c>
      <c r="F8">
        <v>2001</v>
      </c>
      <c r="G8">
        <f>SUMIFS($B:$B,$A:$A,$F8)</f>
        <v>221.505</v>
      </c>
    </row>
    <row r="9" spans="1:30" x14ac:dyDescent="0.3">
      <c r="A9">
        <v>1994</v>
      </c>
      <c r="B9">
        <v>148.553</v>
      </c>
      <c r="C9" t="s">
        <v>30</v>
      </c>
      <c r="F9">
        <v>2002</v>
      </c>
      <c r="G9">
        <f>SUMIFS($B:$B,$A:$A,$F9)</f>
        <v>231.03299999999999</v>
      </c>
    </row>
    <row r="10" spans="1:30" x14ac:dyDescent="0.3">
      <c r="A10">
        <v>1995</v>
      </c>
      <c r="B10">
        <v>155.61699999999999</v>
      </c>
      <c r="C10" t="s">
        <v>30</v>
      </c>
      <c r="F10">
        <v>2003</v>
      </c>
      <c r="G10">
        <f>SUMIFS($B:$B,$A:$A,$F10)</f>
        <v>239.44200000000001</v>
      </c>
    </row>
    <row r="11" spans="1:30" x14ac:dyDescent="0.3">
      <c r="A11">
        <v>1996</v>
      </c>
      <c r="B11">
        <v>159.922</v>
      </c>
      <c r="C11" t="s">
        <v>30</v>
      </c>
      <c r="F11">
        <v>2004</v>
      </c>
      <c r="G11">
        <f>SUMIFS($B:$B,$A:$A,$F11)</f>
        <v>252.87700000000001</v>
      </c>
    </row>
    <row r="12" spans="1:30" x14ac:dyDescent="0.3">
      <c r="A12">
        <v>1997</v>
      </c>
      <c r="B12">
        <v>173.23099999999999</v>
      </c>
      <c r="C12" t="s">
        <v>30</v>
      </c>
      <c r="F12">
        <v>2005</v>
      </c>
      <c r="G12">
        <f>SUMIFS($B:$B,$A:$A,$F12)</f>
        <v>266.78100000000001</v>
      </c>
    </row>
    <row r="13" spans="1:30" x14ac:dyDescent="0.3">
      <c r="A13">
        <v>1998</v>
      </c>
      <c r="B13">
        <v>180.17</v>
      </c>
      <c r="C13" t="s">
        <v>30</v>
      </c>
      <c r="F13">
        <v>2006</v>
      </c>
      <c r="G13">
        <f>SUMIFS($B:$B,$A:$A,$F13)</f>
        <v>271.05500000000001</v>
      </c>
    </row>
    <row r="14" spans="1:30" x14ac:dyDescent="0.3">
      <c r="A14">
        <v>1999</v>
      </c>
      <c r="B14">
        <v>194.488</v>
      </c>
      <c r="C14" t="s">
        <v>30</v>
      </c>
      <c r="F14">
        <v>2007</v>
      </c>
      <c r="G14">
        <f>SUMIFS($B:$B,$A:$A,$F14)</f>
        <v>273.827</v>
      </c>
    </row>
    <row r="15" spans="1:30" x14ac:dyDescent="0.3">
      <c r="A15">
        <v>2000</v>
      </c>
      <c r="B15">
        <v>209.643</v>
      </c>
      <c r="C15" t="s">
        <v>30</v>
      </c>
      <c r="F15">
        <v>2008</v>
      </c>
      <c r="G15">
        <f>SUMIFS($B:$B,$A:$A,$F15)</f>
        <v>276.90899999999999</v>
      </c>
    </row>
    <row r="16" spans="1:30" x14ac:dyDescent="0.3">
      <c r="A16">
        <v>2001</v>
      </c>
      <c r="B16">
        <v>221.505</v>
      </c>
      <c r="C16" t="s">
        <v>30</v>
      </c>
      <c r="F16">
        <v>2009</v>
      </c>
      <c r="G16">
        <f>SUMIFS($B:$B,$A:$A,$F16)</f>
        <v>262.07100000000003</v>
      </c>
    </row>
    <row r="17" spans="1:7" x14ac:dyDescent="0.3">
      <c r="A17">
        <v>2002</v>
      </c>
      <c r="B17">
        <v>231.03299999999999</v>
      </c>
      <c r="C17" t="s">
        <v>30</v>
      </c>
      <c r="F17">
        <v>2010</v>
      </c>
      <c r="G17">
        <f>SUMIFS($B:$B,$A:$A,$F17)</f>
        <v>265.79399999999998</v>
      </c>
    </row>
    <row r="18" spans="1:7" x14ac:dyDescent="0.3">
      <c r="A18">
        <v>2003</v>
      </c>
      <c r="B18">
        <v>239.44200000000001</v>
      </c>
      <c r="C18" t="s">
        <v>30</v>
      </c>
      <c r="F18">
        <v>2011</v>
      </c>
      <c r="G18">
        <f>SUMIFS($B:$B,$A:$A,$F18)</f>
        <v>261.72899999999998</v>
      </c>
    </row>
    <row r="19" spans="1:7" x14ac:dyDescent="0.3">
      <c r="A19">
        <v>2004</v>
      </c>
      <c r="B19">
        <v>252.87700000000001</v>
      </c>
      <c r="C19" t="s">
        <v>30</v>
      </c>
      <c r="F19">
        <v>2012</v>
      </c>
      <c r="G19">
        <f>SUMIFS($B:$B,$A:$A,$F19)</f>
        <v>260.685</v>
      </c>
    </row>
    <row r="20" spans="1:7" x14ac:dyDescent="0.3">
      <c r="A20">
        <v>2005</v>
      </c>
      <c r="B20">
        <v>266.78100000000001</v>
      </c>
      <c r="C20" t="s">
        <v>30</v>
      </c>
      <c r="F20">
        <v>2013</v>
      </c>
      <c r="G20">
        <f>SUMIFS($B:$B,$A:$A,$F20)</f>
        <v>252.18600000000001</v>
      </c>
    </row>
    <row r="21" spans="1:7" x14ac:dyDescent="0.3">
      <c r="A21">
        <v>2006</v>
      </c>
      <c r="B21">
        <v>271.05500000000001</v>
      </c>
      <c r="C21" t="s">
        <v>30</v>
      </c>
      <c r="F21">
        <v>2014</v>
      </c>
      <c r="G21">
        <f>SUMIFS($B:$B,$A:$A,$F21)</f>
        <v>248.95</v>
      </c>
    </row>
    <row r="22" spans="1:7" x14ac:dyDescent="0.3">
      <c r="A22">
        <v>2007</v>
      </c>
      <c r="B22">
        <v>273.827</v>
      </c>
      <c r="C22" t="s">
        <v>30</v>
      </c>
      <c r="F22">
        <v>2015</v>
      </c>
      <c r="G22">
        <f>SUMIFS($B:$B,$A:$A,$F22)</f>
        <v>254.26900000000001</v>
      </c>
    </row>
    <row r="23" spans="1:7" x14ac:dyDescent="0.3">
      <c r="A23">
        <v>2008</v>
      </c>
      <c r="B23">
        <v>276.90899999999999</v>
      </c>
      <c r="C23" t="s">
        <v>30</v>
      </c>
      <c r="F23">
        <v>2016</v>
      </c>
      <c r="G23">
        <f>SUMIFS($B:$B,$A:$A,$F23)</f>
        <v>255.71899999999999</v>
      </c>
    </row>
    <row r="24" spans="1:7" x14ac:dyDescent="0.3">
      <c r="A24">
        <v>2009</v>
      </c>
      <c r="B24">
        <v>262.07100000000003</v>
      </c>
      <c r="C24" t="s">
        <v>30</v>
      </c>
      <c r="F24">
        <v>2017</v>
      </c>
      <c r="G24">
        <f>SUMIFS($B:$B,$A:$A,$F24)</f>
        <v>261.072</v>
      </c>
    </row>
    <row r="25" spans="1:7" x14ac:dyDescent="0.3">
      <c r="A25">
        <v>2010</v>
      </c>
      <c r="B25">
        <v>265.79399999999998</v>
      </c>
      <c r="C25" t="s">
        <v>30</v>
      </c>
      <c r="F25">
        <v>2018</v>
      </c>
      <c r="G25">
        <f>SUMIFS($B:$B,$A:$A,$F25)</f>
        <v>259.95800000000003</v>
      </c>
    </row>
    <row r="26" spans="1:7" x14ac:dyDescent="0.3">
      <c r="A26">
        <v>2011</v>
      </c>
      <c r="B26">
        <v>261.72899999999998</v>
      </c>
      <c r="C26" t="s">
        <v>30</v>
      </c>
      <c r="F26">
        <v>2019</v>
      </c>
      <c r="G26">
        <f>SUMIFS($B:$B,$A:$A,$F26)</f>
        <v>255.32900000000001</v>
      </c>
    </row>
    <row r="27" spans="1:7" x14ac:dyDescent="0.3">
      <c r="A27">
        <v>2012</v>
      </c>
      <c r="B27">
        <v>260.685</v>
      </c>
      <c r="C27" t="s">
        <v>30</v>
      </c>
      <c r="F27">
        <v>2020</v>
      </c>
      <c r="G27">
        <f>SUMIFS($B:$B,$A:$A,$F27)</f>
        <v>241.02199999999999</v>
      </c>
    </row>
    <row r="28" spans="1:7" x14ac:dyDescent="0.3">
      <c r="A28">
        <v>2013</v>
      </c>
      <c r="B28">
        <v>252.18600000000001</v>
      </c>
      <c r="C28" t="s">
        <v>30</v>
      </c>
      <c r="F28">
        <v>2021</v>
      </c>
      <c r="G28">
        <f>SUMIFS($B:$B,$A:$A,$F28)</f>
        <v>248.43600000000001</v>
      </c>
    </row>
    <row r="29" spans="1:7" x14ac:dyDescent="0.3">
      <c r="A29">
        <v>2014</v>
      </c>
      <c r="B29">
        <v>248.95</v>
      </c>
      <c r="C29" t="s">
        <v>30</v>
      </c>
      <c r="F29">
        <v>2022</v>
      </c>
      <c r="G29">
        <f>SUMIFS($B:$B,$A:$A,$F29)</f>
        <v>247.52099999999999</v>
      </c>
    </row>
    <row r="30" spans="1:7" x14ac:dyDescent="0.3">
      <c r="A30">
        <v>2015</v>
      </c>
      <c r="B30">
        <v>254.26900000000001</v>
      </c>
      <c r="C30" t="s">
        <v>30</v>
      </c>
      <c r="F30">
        <v>2023</v>
      </c>
      <c r="G30">
        <f>SUMIFS($B:$B,$A:$A,$F30)</f>
        <v>247.46</v>
      </c>
    </row>
    <row r="31" spans="1:7" x14ac:dyDescent="0.3">
      <c r="A31">
        <v>2016</v>
      </c>
      <c r="B31">
        <v>255.71899999999999</v>
      </c>
      <c r="C31" t="s">
        <v>30</v>
      </c>
      <c r="F31">
        <v>2024</v>
      </c>
      <c r="G31">
        <f>SUMIFS($B:$B,$A:$A,$F31)</f>
        <v>253.74799999999999</v>
      </c>
    </row>
    <row r="32" spans="1:7" x14ac:dyDescent="0.3">
      <c r="A32">
        <v>2017</v>
      </c>
      <c r="B32">
        <v>261.072</v>
      </c>
      <c r="C32" t="s">
        <v>30</v>
      </c>
    </row>
    <row r="33" spans="1:3" x14ac:dyDescent="0.3">
      <c r="A33">
        <v>2018</v>
      </c>
      <c r="B33">
        <v>259.95800000000003</v>
      </c>
      <c r="C33" t="s">
        <v>30</v>
      </c>
    </row>
    <row r="34" spans="1:3" x14ac:dyDescent="0.3">
      <c r="A34">
        <v>2019</v>
      </c>
      <c r="B34">
        <v>255.32900000000001</v>
      </c>
      <c r="C34" t="s">
        <v>30</v>
      </c>
    </row>
    <row r="35" spans="1:3" x14ac:dyDescent="0.3">
      <c r="A35">
        <v>2020</v>
      </c>
      <c r="B35">
        <v>241.02199999999999</v>
      </c>
      <c r="C35" t="s">
        <v>30</v>
      </c>
    </row>
    <row r="36" spans="1:3" x14ac:dyDescent="0.3">
      <c r="A36">
        <v>2021</v>
      </c>
      <c r="B36">
        <v>248.43600000000001</v>
      </c>
      <c r="C36" t="s">
        <v>30</v>
      </c>
    </row>
    <row r="37" spans="1:3" x14ac:dyDescent="0.3">
      <c r="A37">
        <v>2022</v>
      </c>
      <c r="B37">
        <v>247.52099999999999</v>
      </c>
      <c r="C37" t="s">
        <v>30</v>
      </c>
    </row>
    <row r="38" spans="1:3" x14ac:dyDescent="0.3">
      <c r="A38">
        <v>2023</v>
      </c>
      <c r="B38">
        <v>247.46</v>
      </c>
      <c r="C38" t="s">
        <v>30</v>
      </c>
    </row>
    <row r="39" spans="1:3" x14ac:dyDescent="0.3">
      <c r="A39">
        <v>2024</v>
      </c>
      <c r="B39">
        <v>253.74799999999999</v>
      </c>
      <c r="C39" t="s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ELC_Generation</vt:lpstr>
      <vt:lpstr>ImpExp</vt:lpstr>
      <vt:lpstr>Emissions</vt:lpstr>
      <vt:lpstr>ELC_Consumption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Gnocchi  Riccardo</cp:lastModifiedBy>
  <dcterms:created xsi:type="dcterms:W3CDTF">2026-06-02T18:21:07Z</dcterms:created>
  <dcterms:modified xsi:type="dcterms:W3CDTF">2026-06-02T18:56:22Z</dcterms:modified>
</cp:coreProperties>
</file>